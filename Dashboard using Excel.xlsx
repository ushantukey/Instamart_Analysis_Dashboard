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USHANT\OneDrive\Desktop\InstaMart Analysis Dashboard\"/>
    </mc:Choice>
  </mc:AlternateContent>
  <xr:revisionPtr revIDLastSave="0" documentId="13_ncr:1_{25863650-F6C9-4C78-B8E0-F9E7E7ADE3CC}" xr6:coauthVersionLast="47" xr6:coauthVersionMax="47" xr10:uidLastSave="{00000000-0000-0000-0000-000000000000}"/>
  <bookViews>
    <workbookView xWindow="-108" yWindow="-108" windowWidth="23256" windowHeight="13176" xr2:uid="{F8420BDF-C08E-4FBB-891B-F574F63AC6D0}"/>
  </bookViews>
  <sheets>
    <sheet name="Sheet Desgin" sheetId="2" r:id="rId1"/>
    <sheet name="Dashboard" sheetId="3" r:id="rId2"/>
    <sheet name="InstaMart Data" sheetId="1" r:id="rId3"/>
  </sheets>
  <definedNames>
    <definedName name="_xlchart.v2.0" hidden="1">'Sheet Desgin'!$C$95:$C$97</definedName>
    <definedName name="_xlchart.v2.1" hidden="1">'Sheet Desgin'!$D$94</definedName>
    <definedName name="_xlchart.v2.2" hidden="1">'Sheet Desgin'!$D$95:$D$97</definedName>
    <definedName name="_xlchart.v2.3" hidden="1">'Sheet Desgin'!$C$95:$C$97</definedName>
    <definedName name="_xlchart.v2.4" hidden="1">'Sheet Desgin'!$D$94</definedName>
    <definedName name="_xlchart.v2.5" hidden="1">'Sheet Desgin'!$D$95:$D$97</definedName>
    <definedName name="_xlchart.v2.6" hidden="1">'Sheet Desgin'!$D$94:$D$96</definedName>
    <definedName name="_xlchart.v2.7" hidden="1">'Sheet Desgin'!$E$93</definedName>
    <definedName name="_xlchart.v2.8" hidden="1">'Sheet Desgin'!$E$94:$E$96</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6" i="2" l="1"/>
  <c r="C95" i="2"/>
  <c r="C97" i="2"/>
  <c r="D95" i="2"/>
  <c r="D96" i="2"/>
  <c r="D97" i="2"/>
  <c r="D10" i="2"/>
  <c r="C10" i="2"/>
  <c r="B10" i="2"/>
  <c r="A10" i="2"/>
</calcChain>
</file>

<file path=xl/sharedStrings.xml><?xml version="1.0" encoding="utf-8"?>
<sst xmlns="http://schemas.openxmlformats.org/spreadsheetml/2006/main" count="59757" uniqueCount="1632">
  <si>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</si>
  <si>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</si>
  <si>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</si>
  <si>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</si>
  <si>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</si>
  <si>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</si>
  <si>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</si>
  <si>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</si>
  <si>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</si>
  <si>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</si>
  <si>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</si>
  <si>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</si>
  <si>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</si>
  <si>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</si>
  <si>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</si>
  <si>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</si>
  <si>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</si>
  <si>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</si>
  <si>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</si>
  <si>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</si>
  <si>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</si>
  <si>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</si>
  <si>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</si>
  <si>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</si>
  <si>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</si>
  <si>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</si>
  <si>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</si>
  <si>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</si>
  <si>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</si>
  <si>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</si>
  <si>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</si>
  <si>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</si>
  <si>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</si>
  <si>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</si>
  <si>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</si>
  <si>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</si>
  <si>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</si>
  <si>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</si>
  <si>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</si>
  <si>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</si>
  <si>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</si>
  <si>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</si>
  <si>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</si>
  <si>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</si>
  <si>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</si>
  <si>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</si>
  <si>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</si>
  <si>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</si>
  <si>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</si>
  <si>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</si>
  <si>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</si>
  <si>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</si>
  <si>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</si>
  <si>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</si>
  <si>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</si>
  <si>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</si>
  <si>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</si>
  <si>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</si>
  <si>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</si>
  <si>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</si>
  <si>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</si>
  <si>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</si>
  <si>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</si>
  <si>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</si>
  <si>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</si>
  <si>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</si>
  <si>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</si>
  <si>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</si>
  <si>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</si>
  <si>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</si>
  <si>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</si>
  <si>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</si>
  <si>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</si>
  <si>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</si>
  <si>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</si>
  <si>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</si>
  <si>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</si>
  <si>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</si>
  <si>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</si>
  <si>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</si>
  <si>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</si>
  <si>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</si>
  <si>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</si>
  <si>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</si>
  <si>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</si>
  <si>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</si>
  <si>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</si>
  <si>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</si>
  <si>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</si>
  <si>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</si>
  <si>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</si>
  <si>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</si>
  <si>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</si>
  <si>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</si>
  <si>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</si>
  <si>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</si>
  <si>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</si>
  <si>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</si>
  <si>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</si>
  <si>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</si>
  <si>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</si>
  <si>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</si>
  <si>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</si>
  <si>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</si>
  <si>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</si>
  <si>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</si>
  <si>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</si>
  <si>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</si>
  <si>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</si>
  <si>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</si>
  <si>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</si>
  <si>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</si>
  <si>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</si>
  <si>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</si>
  <si>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</si>
  <si>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</si>
  <si>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</si>
  <si>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</si>
  <si>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</si>
  <si>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</si>
  <si>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</si>
  <si>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</si>
  <si>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</si>
  <si>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</si>
  <si>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</si>
  <si>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</si>
  <si>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</si>
  <si>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</si>
  <si>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</si>
  <si>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</si>
  <si>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</si>
  <si>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</si>
  <si>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</si>
  <si>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</si>
  <si>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</si>
  <si>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</si>
  <si>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</si>
  <si>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</si>
  <si>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</si>
  <si>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</si>
  <si>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</si>
  <si>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</si>
  <si>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</si>
  <si>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</si>
  <si>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</si>
  <si>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</si>
  <si>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</si>
  <si>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</si>
  <si>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</si>
  <si>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</si>
  <si>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</si>
  <si>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</si>
  <si>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</si>
  <si>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</si>
  <si>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</si>
  <si>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</si>
  <si>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</si>
  <si>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</si>
  <si>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</si>
  <si>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</si>
  <si>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</si>
  <si>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</si>
  <si>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</si>
  <si>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</si>
  <si>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</si>
  <si>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</si>
  <si>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</si>
  <si>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</si>
  <si>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</si>
  <si>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</si>
  <si>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</si>
  <si>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</si>
  <si>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</si>
  <si>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</si>
  <si>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</si>
  <si>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</si>
  <si>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</si>
  <si>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</si>
  <si>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</si>
  <si>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</si>
  <si>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</si>
  <si>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</si>
  <si>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</si>
  <si>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</si>
  <si>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</si>
  <si>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</si>
  <si>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</si>
  <si>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</si>
  <si>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</si>
  <si>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</si>
  <si>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</si>
  <si>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</si>
  <si>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</si>
  <si>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</si>
  <si>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</si>
  <si>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</si>
  <si>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</si>
  <si>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</si>
  <si>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</si>
  <si>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</si>
  <si>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</si>
  <si>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</si>
  <si>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</si>
  <si>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</si>
  <si>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</si>
  <si>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</si>
  <si>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</si>
  <si>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</si>
  <si>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</si>
  <si>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</si>
  <si>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</si>
  <si>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</si>
  <si>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</si>
  <si>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</si>
  <si>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</si>
  <si>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</si>
  <si>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</si>
  <si>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</si>
  <si>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</si>
  <si>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</si>
  <si>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</si>
  <si>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</si>
  <si>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</si>
  <si>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</si>
  <si>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</si>
  <si>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</si>
  <si>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</si>
  <si>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</si>
  <si>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</si>
  <si>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</si>
  <si>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</si>
  <si>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</si>
  <si>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</si>
  <si>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</si>
  <si>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</si>
  <si>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</si>
  <si>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</si>
  <si>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</si>
  <si>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</si>
  <si>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</si>
  <si>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</si>
  <si>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</si>
  <si>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</si>
  <si>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</si>
  <si>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</si>
  <si>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</si>
  <si>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</si>
  <si>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</si>
  <si>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</si>
  <si>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</si>
  <si>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</si>
  <si>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</si>
  <si>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</si>
  <si>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</si>
  <si>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</si>
  <si>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</si>
  <si>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</si>
  <si>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</si>
  <si>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</si>
  <si>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</si>
  <si>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</si>
  <si>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</si>
  <si>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</si>
  <si>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</si>
  <si>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</si>
  <si>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</si>
  <si>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</si>
  <si>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</si>
  <si>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</si>
  <si>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</si>
  <si>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</si>
  <si>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</si>
  <si>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</si>
  <si>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</si>
  <si>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</si>
  <si>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</si>
  <si>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</si>
  <si>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</si>
  <si>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</si>
  <si>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</si>
  <si>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</si>
  <si>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</si>
  <si>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</si>
  <si>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</si>
  <si>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</si>
  <si>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</si>
  <si>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</si>
  <si>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</si>
  <si>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</si>
  <si>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</si>
  <si>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</si>
  <si>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</si>
  <si>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</si>
  <si>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</si>
  <si>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</si>
  <si>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</si>
  <si>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</si>
  <si>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</si>
  <si>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</si>
  <si>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</si>
  <si>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</si>
  <si>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</si>
  <si>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</si>
  <si>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</si>
  <si>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</si>
  <si>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</si>
  <si>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</si>
  <si>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</si>
  <si>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</si>
  <si>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</si>
  <si>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</si>
  <si>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</si>
  <si>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</si>
  <si>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</si>
  <si>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</si>
  <si>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</si>
  <si>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</si>
  <si>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</si>
  <si>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</si>
  <si>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</si>
  <si>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</si>
  <si>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</si>
  <si>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</si>
  <si>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</si>
  <si>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</si>
  <si>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</si>
  <si>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</si>
  <si>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</si>
  <si>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</si>
  <si>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</si>
  <si>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</si>
  <si>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</si>
  <si>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</si>
  <si>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</si>
  <si>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</si>
  <si>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</si>
  <si>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</si>
  <si>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</si>
  <si>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</si>
  <si>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</si>
  <si>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</si>
  <si>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</si>
  <si>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</si>
  <si>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</si>
  <si>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</si>
  <si>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</si>
  <si>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</si>
  <si>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</si>
  <si>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</si>
  <si>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</si>
  <si>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</si>
  <si>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</si>
  <si>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</si>
  <si>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</si>
  <si>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</si>
  <si>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</si>
  <si>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</si>
  <si>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</si>
  <si>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</si>
  <si>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</si>
  <si>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</si>
  <si>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</si>
  <si>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</si>
  <si>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</si>
  <si>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</si>
  <si>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</si>
  <si>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</si>
  <si>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</si>
  <si>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</si>
  <si>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</si>
  <si>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</si>
  <si>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</si>
  <si>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</si>
  <si>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</si>
  <si>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</si>
  <si>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</si>
  <si>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</si>
  <si>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</si>
  <si>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</si>
  <si>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</si>
  <si>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</si>
  <si>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</si>
  <si>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</si>
  <si>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</si>
  <si>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</si>
  <si>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</si>
  <si>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</si>
  <si>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</si>
  <si>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</si>
  <si>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</si>
  <si>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</si>
  <si>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</si>
  <si>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</si>
  <si>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</si>
  <si>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</si>
  <si>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</si>
  <si>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</si>
  <si>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</si>
  <si>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</si>
  <si>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</si>
  <si>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</si>
  <si>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</si>
  <si>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</si>
  <si>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</si>
  <si>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</si>
  <si>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</si>
  <si>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</si>
  <si>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</si>
  <si>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</si>
  <si>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</si>
  <si>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</si>
  <si>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</si>
  <si>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</si>
  <si>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</si>
  <si>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</si>
  <si>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</si>
  <si>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</si>
  <si>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</si>
  <si>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</si>
  <si>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</si>
  <si>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</si>
  <si>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</si>
  <si>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</si>
  <si>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</si>
  <si>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</si>
  <si>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</si>
  <si>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</si>
  <si>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</si>
  <si>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</si>
  <si>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</si>
  <si>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</si>
  <si>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</si>
  <si>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</si>
  <si>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</si>
  <si>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</si>
  <si>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</si>
  <si>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</si>
  <si>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</si>
  <si>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</si>
  <si>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</si>
  <si>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</si>
  <si>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</si>
  <si>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</si>
  <si>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</si>
  <si>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</si>
  <si>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</si>
  <si>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</si>
  <si>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</si>
  <si>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</si>
  <si>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</si>
  <si>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</si>
  <si>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</si>
  <si>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</si>
  <si>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</si>
  <si>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</si>
  <si>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</si>
  <si>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</si>
  <si>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</si>
  <si>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</si>
  <si>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</si>
  <si>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</si>
  <si>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</si>
  <si>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</si>
  <si>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</si>
  <si>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</si>
  <si>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</si>
  <si>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</si>
  <si>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</si>
  <si>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</si>
  <si>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</si>
  <si>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</si>
  <si>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</si>
  <si>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</si>
  <si>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</si>
  <si>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</si>
  <si>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</si>
  <si>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</si>
  <si>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</si>
  <si>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</si>
  <si>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</si>
  <si>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</si>
  <si>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</si>
  <si>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</si>
  <si>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</si>
  <si>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</si>
  <si>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</si>
  <si>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</si>
  <si>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</si>
  <si>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</si>
  <si>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</si>
  <si>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</si>
  <si>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</si>
  <si>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</si>
  <si>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</si>
  <si>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</si>
  <si>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</si>
  <si>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</si>
  <si>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</si>
  <si>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</si>
  <si>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</si>
  <si>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</si>
  <si>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</si>
  <si>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</si>
  <si>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</si>
  <si>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</si>
  <si>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</si>
  <si>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</si>
  <si>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</si>
  <si>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</si>
  <si>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</si>
  <si>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</si>
  <si>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</si>
  <si>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</si>
  <si>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</si>
  <si>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</si>
  <si>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</si>
  <si>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</si>
  <si>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</si>
  <si>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</si>
  <si>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</si>
  <si>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</si>
  <si>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</si>
  <si>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</si>
  <si>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</si>
  <si>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</si>
  <si>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</si>
  <si>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</si>
  <si>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</si>
  <si>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</si>
  <si>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</si>
  <si>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</si>
  <si>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</si>
  <si>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</si>
  <si>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</si>
  <si>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</si>
  <si>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</si>
  <si>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</si>
  <si>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</si>
  <si>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</si>
  <si>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</si>
  <si>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</si>
  <si>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</si>
  <si>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</si>
  <si>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</si>
  <si>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</si>
  <si>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</si>
  <si>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</si>
  <si>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</si>
  <si>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</si>
  <si>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</si>
  <si>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</si>
  <si>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</si>
  <si>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</si>
  <si>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</si>
  <si>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</si>
  <si>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</si>
  <si>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</si>
  <si>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</si>
  <si>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</si>
  <si>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</si>
  <si>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</si>
  <si>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</si>
  <si>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</si>
  <si>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</si>
  <si>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</si>
  <si>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</si>
  <si>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</si>
  <si>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</si>
  <si>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</si>
  <si>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</si>
  <si>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</si>
  <si>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</si>
  <si>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</si>
  <si>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</si>
  <si>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</si>
  <si>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</si>
  <si>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</si>
  <si>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</si>
  <si>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</si>
  <si>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</si>
  <si>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</si>
  <si>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</si>
  <si>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</si>
  <si>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</si>
  <si>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</si>
  <si>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</si>
  <si>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</si>
  <si>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</si>
  <si>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</si>
  <si>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</si>
  <si>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</si>
  <si>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</si>
  <si>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</si>
  <si>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</si>
  <si>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</si>
  <si>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</si>
  <si>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</si>
  <si>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</si>
  <si>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</si>
  <si>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</si>
  <si>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</si>
  <si>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</si>
  <si>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</si>
  <si>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</si>
  <si>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</si>
  <si>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</si>
  <si>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</si>
  <si>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</si>
  <si>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</si>
  <si>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</si>
  <si>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</si>
  <si>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</si>
  <si>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</si>
  <si>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</si>
  <si>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</si>
  <si>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</si>
  <si>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</si>
  <si>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</si>
  <si>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</si>
  <si>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</si>
  <si>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</si>
  <si>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</si>
  <si>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</si>
  <si>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</si>
  <si>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</si>
  <si>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</si>
  <si>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</si>
  <si>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</si>
  <si>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</si>
  <si>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</si>
  <si>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</si>
  <si>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</si>
  <si>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</si>
  <si>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</si>
  <si>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</si>
  <si>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</si>
  <si>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</si>
  <si>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</si>
  <si>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</si>
  <si>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</si>
  <si>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</si>
  <si>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</si>
  <si>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</si>
  <si>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</si>
  <si>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</si>
  <si>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</si>
  <si>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</si>
  <si>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</si>
  <si>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</si>
  <si>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</si>
  <si>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</si>
  <si>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</si>
  <si>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</si>
  <si>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</si>
  <si>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</si>
  <si>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</si>
  <si>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</si>
  <si>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</si>
  <si>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</si>
  <si>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</si>
  <si>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</si>
  <si>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</si>
  <si>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</si>
  <si>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</si>
  <si>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</si>
  <si>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</si>
  <si>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</si>
  <si>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</si>
  <si>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</si>
  <si>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</si>
  <si>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</si>
  <si>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</si>
  <si>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</si>
  <si>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</si>
  <si>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</si>
  <si>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</si>
  <si>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</si>
  <si>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</si>
  <si>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</si>
  <si>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</si>
  <si>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</si>
  <si>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</si>
  <si>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</si>
  <si>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</si>
  <si>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</si>
  <si>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</si>
  <si>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</si>
  <si>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</si>
  <si>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</si>
  <si>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</si>
  <si>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</si>
  <si>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</si>
  <si>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</si>
  <si>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</si>
  <si>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</si>
  <si>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</si>
  <si>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</si>
  <si>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</si>
  <si>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</si>
  <si>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</si>
  <si>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</si>
  <si>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</si>
  <si>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</si>
  <si>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</si>
  <si>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</si>
  <si>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</si>
  <si>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</si>
  <si>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</si>
  <si>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</si>
  <si>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</si>
  <si>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</si>
  <si>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</si>
  <si>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</si>
  <si>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</si>
  <si>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</si>
  <si>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</si>
  <si>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</si>
  <si>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</si>
  <si>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</si>
  <si>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</si>
  <si>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</si>
  <si>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</si>
  <si>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</si>
  <si>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</si>
  <si>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</si>
  <si>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</si>
  <si>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</si>
  <si>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</si>
  <si>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</si>
  <si>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</si>
  <si>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</si>
  <si>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</si>
  <si>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</si>
  <si>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</si>
  <si>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</si>
  <si>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</si>
  <si>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</si>
  <si>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</si>
  <si>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</si>
  <si>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</si>
  <si>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</si>
  <si>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</si>
  <si>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</si>
  <si>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</si>
  <si>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</si>
  <si>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</si>
  <si>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</si>
  <si>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</si>
  <si>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</si>
  <si>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</si>
  <si>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</si>
  <si>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</si>
  <si>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</si>
  <si>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</si>
  <si>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</si>
  <si>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</si>
  <si>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</si>
  <si>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</si>
  <si>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</si>
  <si>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</si>
  <si>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</si>
  <si>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</si>
  <si>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</si>
  <si>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</si>
  <si>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</si>
  <si>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</si>
  <si>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</si>
  <si>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</si>
  <si>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</si>
  <si>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</si>
  <si>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</si>
  <si>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</si>
  <si>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</si>
  <si>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</si>
  <si>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</si>
  <si>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</si>
  <si>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</si>
  <si>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</si>
  <si>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</si>
  <si>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</si>
  <si>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</si>
  <si>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</si>
  <si>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</si>
  <si>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</si>
  <si>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</si>
  <si>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</si>
  <si>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</si>
  <si>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</si>
  <si>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</si>
  <si>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</si>
  <si>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</si>
  <si>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</si>
  <si>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</si>
  <si>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</si>
  <si>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</si>
  <si>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</si>
  <si>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</si>
  <si>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</si>
  <si>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</si>
  <si>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</si>
  <si>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</si>
  <si>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</si>
  <si>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</si>
  <si>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</si>
  <si>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</si>
  <si>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</si>
  <si>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</si>
  <si>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</si>
  <si>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</si>
  <si>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</si>
  <si>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</si>
  <si>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</si>
  <si>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</si>
  <si>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</si>
  <si>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</si>
  <si>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</si>
  <si>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</si>
  <si>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</si>
  <si>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</si>
  <si>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</si>
  <si>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</si>
  <si>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</si>
  <si>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</si>
  <si>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</si>
  <si>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</si>
  <si>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</si>
  <si>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</si>
  <si>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</si>
  <si>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</si>
  <si>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</si>
  <si>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</si>
  <si>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</si>
  <si>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</si>
  <si>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</si>
  <si>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</si>
  <si>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</si>
  <si>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</si>
  <si>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</si>
  <si>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</si>
  <si>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</si>
  <si>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</si>
  <si>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</si>
  <si>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</si>
  <si>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</si>
  <si>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</si>
  <si>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</si>
  <si>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</si>
  <si>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</si>
  <si>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</si>
  <si>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</si>
  <si>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</si>
  <si>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</si>
  <si>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</si>
  <si>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</si>
  <si>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</si>
  <si>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</si>
  <si>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</si>
  <si>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</si>
  <si>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</si>
  <si>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</si>
  <si>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</si>
  <si>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</si>
  <si>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</si>
  <si>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</si>
  <si>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</si>
  <si>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</si>
  <si>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</si>
  <si>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</si>
  <si>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</si>
  <si>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</si>
  <si>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</si>
  <si>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</si>
  <si>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</si>
  <si>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</si>
  <si>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</si>
  <si>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</si>
  <si>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</si>
  <si>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</si>
  <si>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</si>
  <si>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</si>
  <si>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</si>
  <si>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</si>
  <si>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</si>
  <si>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</si>
  <si>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</si>
  <si>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</si>
  <si>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</si>
  <si>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</si>
  <si>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</si>
  <si>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</si>
  <si>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</si>
  <si>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</si>
  <si>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</si>
  <si>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</si>
  <si>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</si>
  <si>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</si>
  <si>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</si>
  <si>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</si>
  <si>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</si>
  <si>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</si>
  <si>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</si>
  <si>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</si>
  <si>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</si>
  <si>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</si>
  <si>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</si>
  <si>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</si>
  <si>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</si>
  <si>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</si>
  <si>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</si>
  <si>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</si>
  <si>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</si>
  <si>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</si>
  <si>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</si>
  <si>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</si>
  <si>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</si>
  <si>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</si>
  <si>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</si>
  <si>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</si>
  <si>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</si>
  <si>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</si>
  <si>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</si>
  <si>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</si>
  <si>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</si>
  <si>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</si>
  <si>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</si>
  <si>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</si>
  <si>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</si>
  <si>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</si>
  <si>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</si>
  <si>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</si>
  <si>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</si>
  <si>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</si>
  <si>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</si>
  <si>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</si>
  <si>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</si>
  <si>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</si>
  <si>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</si>
  <si>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</si>
  <si>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</si>
  <si>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</si>
  <si>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</si>
  <si>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</si>
  <si>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</si>
  <si>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</si>
  <si>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</si>
  <si>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</si>
  <si>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</si>
  <si>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</si>
  <si>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</si>
  <si>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</si>
  <si>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</si>
  <si>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</si>
  <si>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</si>
  <si>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</si>
  <si>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</si>
  <si>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</si>
  <si>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</si>
  <si>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</si>
  <si>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</si>
  <si>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</si>
  <si>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</si>
  <si>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</si>
  <si>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</si>
  <si>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</si>
  <si>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</si>
  <si>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</si>
  <si>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</si>
  <si>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</si>
  <si>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</si>
  <si>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</si>
  <si>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</si>
  <si>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</si>
  <si>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</si>
  <si>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</si>
  <si>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</si>
  <si>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</si>
  <si>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</si>
  <si>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</si>
  <si>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</si>
  <si>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</si>
  <si>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</si>
  <si>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</si>
  <si>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</si>
  <si>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</si>
  <si>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</si>
  <si>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</si>
  <si>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</si>
  <si>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</si>
  <si>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</si>
  <si>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</si>
  <si>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</si>
  <si>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</si>
  <si>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</si>
  <si>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</si>
  <si>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</si>
  <si>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</si>
  <si>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</si>
  <si>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</si>
  <si>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</si>
  <si>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</si>
  <si>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</si>
  <si>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</si>
  <si>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</si>
  <si>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</si>
  <si>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</si>
  <si>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</si>
  <si>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</si>
  <si>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</si>
  <si>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</si>
  <si>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</si>
  <si>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</si>
  <si>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</si>
  <si>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</si>
  <si>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</si>
  <si>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</si>
  <si>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</si>
  <si>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</si>
  <si>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</si>
  <si>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</si>
  <si>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</si>
  <si>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</si>
  <si>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</si>
  <si>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</si>
  <si>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</si>
  <si>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</si>
  <si>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</si>
  <si>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</si>
  <si>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</si>
  <si>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</si>
  <si>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</si>
  <si>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</si>
  <si>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</si>
  <si>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</si>
  <si>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</si>
  <si>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</si>
  <si>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</si>
  <si>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</si>
  <si>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</si>
  <si>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</si>
  <si>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</si>
  <si>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</si>
  <si>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</si>
  <si>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</si>
  <si>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</si>
  <si>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</si>
  <si>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</si>
  <si>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</si>
  <si>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</si>
  <si>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</si>
  <si>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</si>
  <si>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</si>
  <si>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</si>
  <si>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</si>
  <si>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</si>
  <si>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</si>
  <si>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</si>
  <si>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</si>
  <si>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</si>
  <si>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</si>
  <si>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</si>
  <si>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</si>
  <si>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</si>
  <si>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</si>
  <si>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</si>
  <si>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</si>
  <si>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</si>
  <si>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</si>
  <si>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</si>
  <si>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</si>
  <si>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</si>
  <si>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</si>
  <si>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</si>
  <si>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</si>
  <si>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</si>
  <si>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</si>
  <si>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</si>
  <si>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</si>
  <si>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</si>
  <si>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</si>
  <si>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</si>
  <si>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</si>
  <si>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</si>
  <si>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</si>
  <si>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</si>
  <si>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</si>
  <si>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</si>
  <si>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</si>
  <si>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</si>
  <si>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</si>
  <si>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</si>
  <si>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</si>
  <si>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</si>
  <si>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</si>
  <si>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</si>
  <si>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</si>
  <si>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</si>
  <si>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</si>
  <si>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</si>
  <si>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</si>
  <si>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</si>
  <si>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</si>
  <si>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</si>
  <si>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</si>
  <si>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</si>
  <si>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</si>
  <si>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</si>
  <si>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</si>
  <si>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</si>
  <si>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</si>
  <si>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</si>
  <si>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</si>
  <si>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</si>
  <si>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</si>
  <si>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</si>
  <si>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</si>
  <si>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</si>
  <si>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</si>
  <si>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</si>
  <si>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</si>
  <si>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</si>
  <si>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</si>
  <si>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</si>
  <si>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</si>
  <si>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</si>
  <si>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</si>
  <si>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</si>
  <si>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</si>
  <si>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</si>
  <si>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</si>
  <si>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</si>
  <si>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</si>
  <si>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</si>
  <si>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</si>
  <si>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</si>
  <si>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</si>
  <si>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</si>
  <si>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</si>
  <si>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</si>
  <si>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</si>
  <si>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</si>
  <si>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</si>
  <si>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</si>
  <si>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</si>
  <si>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</si>
  <si>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</si>
  <si>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</si>
  <si>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</si>
  <si>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</si>
  <si>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</si>
  <si>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</si>
  <si>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</si>
  <si>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</si>
  <si>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</si>
  <si>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</si>
  <si>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</si>
  <si>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</si>
  <si>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</si>
  <si>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</si>
  <si>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</si>
  <si>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</si>
  <si>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</si>
  <si>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</si>
  <si>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</si>
  <si>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</si>
  <si>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</si>
  <si>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</si>
  <si>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</si>
  <si>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</si>
  <si>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</si>
  <si>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</si>
  <si>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</si>
  <si>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</si>
  <si>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</si>
  <si>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</si>
  <si>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</si>
  <si>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</si>
  <si>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</si>
  <si>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</si>
  <si>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</si>
  <si>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</si>
  <si>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</si>
  <si>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</si>
  <si>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</si>
  <si>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</si>
  <si>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</si>
  <si>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</si>
  <si>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</si>
  <si>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</si>
  <si>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</si>
  <si>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</si>
  <si>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</si>
  <si>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</si>
  <si>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</si>
  <si>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</si>
  <si>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</si>
  <si>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</si>
  <si>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</si>
  <si>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</si>
  <si>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</si>
  <si>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</si>
  <si>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</si>
  <si>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</si>
  <si>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</si>
  <si>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</si>
  <si>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</si>
  <si>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</si>
  <si>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</si>
  <si>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</si>
  <si>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</si>
  <si>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</si>
  <si>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</si>
  <si>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</si>
  <si>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</si>
  <si>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</si>
  <si>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</si>
  <si>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</si>
  <si>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</si>
  <si>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</si>
  <si>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</si>
  <si>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</si>
  <si>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</si>
  <si>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</si>
  <si>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</si>
  <si>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</si>
  <si>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</si>
  <si>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</si>
  <si>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</si>
  <si>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</si>
  <si>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</si>
  <si>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</si>
  <si>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</si>
  <si>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</si>
  <si>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</si>
  <si>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</si>
  <si>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</si>
  <si>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</si>
  <si>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</si>
  <si>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</si>
  <si>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</si>
  <si>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</si>
  <si>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</si>
  <si>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</si>
  <si>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</si>
  <si>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</si>
  <si>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</si>
  <si>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</si>
  <si>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</si>
  <si>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</si>
  <si>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</si>
  <si>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</si>
  <si>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</si>
  <si>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</si>
  <si>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</si>
  <si>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</si>
  <si>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</si>
  <si>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</si>
  <si>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</si>
  <si>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</si>
  <si>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</si>
  <si>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</si>
  <si>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</si>
  <si>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</si>
  <si>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</si>
  <si>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</si>
  <si>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</si>
  <si>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</si>
  <si>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</si>
  <si>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</si>
  <si>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</si>
  <si>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</si>
  <si>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</si>
  <si>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</si>
  <si>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</si>
  <si>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</si>
  <si>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</si>
  <si>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</si>
  <si>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</si>
  <si>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</si>
  <si>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</si>
  <si>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</si>
  <si>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</si>
  <si>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</si>
  <si>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</si>
  <si>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</si>
  <si>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</si>
  <si>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</si>
  <si>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</si>
  <si>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</si>
  <si>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</si>
  <si>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</si>
  <si>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</si>
  <si>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</si>
  <si>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</si>
  <si>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</si>
  <si>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</si>
  <si>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</si>
  <si>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</si>
  <si>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</si>
  <si>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</si>
  <si>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</si>
  <si>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</si>
  <si>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</si>
  <si>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</si>
  <si>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</si>
  <si>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</si>
  <si>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</si>
  <si>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</si>
  <si>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</si>
  <si>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</si>
  <si>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</si>
  <si>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</si>
  <si>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</si>
  <si>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</si>
  <si>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</si>
  <si>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</si>
  <si>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</si>
  <si>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</si>
  <si>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</si>
  <si>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</si>
  <si>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</si>
  <si>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</si>
  <si>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</si>
  <si>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</si>
  <si>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</si>
  <si>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</si>
  <si>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</si>
  <si>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</si>
  <si>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</si>
  <si>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</si>
  <si>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</si>
  <si>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</si>
  <si>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</si>
  <si>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</si>
  <si>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</si>
  <si>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</si>
  <si>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</si>
  <si>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</si>
  <si>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</si>
  <si>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</si>
  <si>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</si>
  <si>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</si>
  <si>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</si>
  <si>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</si>
  <si>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</si>
  <si>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</si>
  <si>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</si>
  <si>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</si>
  <si>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</si>
  <si>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</si>
  <si>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</si>
  <si>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</si>
  <si>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</si>
  <si>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</si>
  <si>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</si>
  <si>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</si>
  <si>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</si>
  <si>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</si>
  <si>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</si>
  <si>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</si>
  <si>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</si>
  <si>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</si>
  <si>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</si>
  <si>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</si>
  <si>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</si>
  <si>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</si>
  <si>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</si>
  <si>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</si>
  <si>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</si>
  <si>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</si>
  <si>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</si>
  <si>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</si>
  <si>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</si>
  <si>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</si>
  <si>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</si>
  <si>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</si>
  <si>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</si>
  <si>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</si>
  <si>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</si>
  <si>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</si>
  <si>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</si>
  <si>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</si>
  <si>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</si>
  <si>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</si>
  <si>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</si>
  <si>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</si>
  <si>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</si>
  <si>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</si>
  <si>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</si>
  <si>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</si>
  <si>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</si>
  <si>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</si>
  <si>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</si>
  <si>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</si>
  <si>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</si>
  <si>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</si>
  <si>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</si>
  <si>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</si>
  <si>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</si>
  <si>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</si>
  <si>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</si>
  <si>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</si>
  <si>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</si>
  <si>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</si>
  <si>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</si>
  <si>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</si>
  <si>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</si>
  <si>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</si>
  <si>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</si>
  <si>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</si>
  <si>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</si>
  <si>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</si>
  <si>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</si>
  <si>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</si>
  <si>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</si>
  <si>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</si>
  <si>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</si>
  <si>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</si>
  <si>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</si>
  <si>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</si>
  <si>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</si>
  <si>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</si>
  <si>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</si>
  <si>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</si>
  <si>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</si>
  <si>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</si>
  <si>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</si>
  <si>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</si>
  <si>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</si>
  <si>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</si>
  <si>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</si>
  <si>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</si>
  <si>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</si>
  <si>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</si>
  <si>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</si>
  <si>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</si>
  <si>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</si>
  <si>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</si>
  <si>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</si>
  <si>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</si>
  <si>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</si>
  <si>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</si>
  <si>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</si>
  <si>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</si>
  <si>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</si>
  <si>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</si>
  <si>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</si>
  <si>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</si>
  <si>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</si>
  <si>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</si>
  <si>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</si>
  <si>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</si>
  <si>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</si>
  <si>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</si>
  <si>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</si>
  <si>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</si>
  <si>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</si>
  <si>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</si>
  <si>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</si>
  <si>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</si>
  <si>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</si>
  <si>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</si>
  <si>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</si>
  <si>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</si>
  <si>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</si>
  <si>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</si>
  <si>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</si>
  <si>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</si>
  <si>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</si>
  <si>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</si>
  <si>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</si>
  <si>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</si>
  <si>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</si>
  <si>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</si>
  <si>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</si>
  <si>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</si>
  <si>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</si>
  <si>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</si>
  <si>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</si>
  <si>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</si>
  <si>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</si>
  <si>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</si>
  <si>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</si>
  <si>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</si>
  <si>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</si>
  <si>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</si>
  <si>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</si>
  <si>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</si>
  <si>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</si>
  <si>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</si>
  <si>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</si>
  <si>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</si>
  <si>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</si>
  <si>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</si>
  <si>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</si>
  <si>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</si>
  <si>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</si>
  <si>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</si>
  <si>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</si>
  <si>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</si>
  <si>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</si>
  <si>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</si>
  <si>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</si>
  <si>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</si>
  <si>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</si>
  <si>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</si>
  <si>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</si>
  <si>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</si>
  <si>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</si>
  <si>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</si>
  <si>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</si>
  <si>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</si>
  <si>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</si>
  <si>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</si>
  <si>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</si>
  <si>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</si>
  <si>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</si>
  <si>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</si>
  <si>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</si>
  <si>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</si>
  <si>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</si>
  <si>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</si>
  <si>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</si>
  <si>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</si>
  <si>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</si>
  <si>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</si>
  <si>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</si>
  <si>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</si>
  <si>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</si>
  <si>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</si>
  <si>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</si>
  <si>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</si>
  <si>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</si>
  <si>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</si>
  <si>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</si>
  <si>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</si>
  <si>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</si>
  <si>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</si>
  <si>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</si>
  <si>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</si>
  <si>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</si>
  <si>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</si>
  <si>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</si>
  <si>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</si>
  <si>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</si>
  <si>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</si>
  <si>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</si>
  <si>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</si>
  <si>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</si>
  <si>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</si>
  <si>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</si>
  <si>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</si>
  <si>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</si>
  <si>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</si>
  <si>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</si>
  <si>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</si>
  <si>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</si>
  <si>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</si>
  <si>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</si>
  <si>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</si>
  <si>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</si>
  <si>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</si>
  <si>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</si>
  <si>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</si>
  <si>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</si>
  <si>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</si>
  <si>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</si>
  <si>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</si>
  <si>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</si>
  <si>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</si>
  <si>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</si>
  <si>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</si>
  <si>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</si>
  <si>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</si>
  <si>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</si>
  <si>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</si>
  <si>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</si>
  <si>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</si>
  <si>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</si>
  <si>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</si>
  <si>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</si>
  <si>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</si>
  <si>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</si>
  <si>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</si>
  <si>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</si>
  <si>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</si>
  <si>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</si>
  <si>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</si>
  <si>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</si>
  <si>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</si>
  <si>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</si>
  <si>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</si>
  <si>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</si>
  <si>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</si>
  <si>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</si>
  <si>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</si>
  <si>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</si>
  <si>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</si>
  <si>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</si>
  <si>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</si>
  <si>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</si>
  <si>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</si>
  <si>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</si>
  <si>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</si>
  <si>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</si>
  <si>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</si>
  <si>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</si>
  <si>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</si>
  <si>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</si>
  <si>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</si>
  <si>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</si>
  <si>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</si>
  <si>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</si>
  <si>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No of Item</t>
  </si>
  <si>
    <t>Average of Rating</t>
  </si>
  <si>
    <t>Total Sales</t>
  </si>
  <si>
    <t>Avg Sales</t>
  </si>
  <si>
    <t>No of items</t>
  </si>
  <si>
    <t>KPI's Requirements</t>
  </si>
  <si>
    <t>Row Labels</t>
  </si>
  <si>
    <t>Grand Total</t>
  </si>
  <si>
    <t>Total Sales by Fat Content</t>
  </si>
  <si>
    <t>Column Labels</t>
  </si>
  <si>
    <t>TOTAL SALES BY ITEM TYPE</t>
  </si>
  <si>
    <t>Total Sales by OUTLET</t>
  </si>
  <si>
    <t>TOTAL SALES BY OUTLET ESTABLISHMENT</t>
  </si>
  <si>
    <t>Avg Rating</t>
  </si>
  <si>
    <t>SALES BY OUTLET SIZE</t>
  </si>
  <si>
    <t>OUTLET LOCATION</t>
  </si>
  <si>
    <t>SALES</t>
  </si>
  <si>
    <t>SALES BY OUTLET LOCATION</t>
  </si>
  <si>
    <t>Count of Item Type</t>
  </si>
  <si>
    <t>SALES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</si>
</sst>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quot;$&quot;0.00,,&quot;M&quot;"/>
    <numFmt numFmtId="166" formatCode="0.0"/>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8" tint="-0.249977111117893"/>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164" fontId="0" fillId="0" borderId="10" xfId="0" applyNumberFormat="1" applyBorder="1"/>
    <xf numFmtId="0" fontId="0" fillId="0" borderId="10"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5" fontId="0" fillId="0" borderId="17" xfId="0" applyNumberFormat="1" applyBorder="1"/>
    <xf numFmtId="166" fontId="0" fillId="0" borderId="18" xfId="0" applyNumberFormat="1" applyBorder="1"/>
    <xf numFmtId="0" fontId="18" fillId="33" borderId="22" xfId="0" applyFont="1" applyFill="1" applyBorder="1" applyAlignment="1">
      <alignment horizontal="center"/>
    </xf>
    <xf numFmtId="0" fontId="0" fillId="0" borderId="11" xfId="0" pivotButton="1" applyBorder="1"/>
    <xf numFmtId="0" fontId="0" fillId="0" borderId="24" xfId="0" applyBorder="1" applyAlignment="1">
      <alignment horizontal="left"/>
    </xf>
    <xf numFmtId="0" fontId="0" fillId="0" borderId="23" xfId="0" applyBorder="1" applyAlignment="1">
      <alignment horizontal="left"/>
    </xf>
    <xf numFmtId="0" fontId="0" fillId="0" borderId="11" xfId="0" applyBorder="1"/>
    <xf numFmtId="165" fontId="0" fillId="0" borderId="23" xfId="0" applyNumberFormat="1" applyBorder="1"/>
    <xf numFmtId="167" fontId="0" fillId="0" borderId="22" xfId="0" applyNumberFormat="1" applyBorder="1"/>
    <xf numFmtId="167" fontId="0" fillId="0" borderId="24" xfId="0" applyNumberFormat="1" applyBorder="1"/>
    <xf numFmtId="167" fontId="0" fillId="0" borderId="12" xfId="0" applyNumberFormat="1" applyBorder="1"/>
    <xf numFmtId="167" fontId="0" fillId="0" borderId="14" xfId="0" applyNumberFormat="1" applyBorder="1"/>
    <xf numFmtId="167" fontId="0" fillId="0" borderId="15" xfId="0" applyNumberFormat="1" applyBorder="1"/>
    <xf numFmtId="167" fontId="0" fillId="0" borderId="16" xfId="0" applyNumberFormat="1" applyBorder="1"/>
    <xf numFmtId="0" fontId="0" fillId="0" borderId="12" xfId="0" applyBorder="1"/>
    <xf numFmtId="0" fontId="0" fillId="34" borderId="15" xfId="0" applyFill="1" applyBorder="1" applyAlignment="1">
      <alignment horizontal="center"/>
    </xf>
    <xf numFmtId="0" fontId="0" fillId="34" borderId="0" xfId="0" applyFill="1" applyBorder="1" applyAlignment="1">
      <alignment horizontal="center"/>
    </xf>
    <xf numFmtId="0" fontId="0" fillId="34" borderId="16" xfId="0" applyFill="1" applyBorder="1" applyAlignment="1">
      <alignment horizontal="center"/>
    </xf>
    <xf numFmtId="0" fontId="0" fillId="0" borderId="0" xfId="0" applyBorder="1"/>
    <xf numFmtId="0" fontId="0" fillId="0" borderId="18" xfId="0" applyNumberFormat="1" applyBorder="1"/>
    <xf numFmtId="167" fontId="0" fillId="0" borderId="0" xfId="0" applyNumberFormat="1" applyBorder="1"/>
    <xf numFmtId="0" fontId="0" fillId="0" borderId="22" xfId="0" applyBorder="1" applyAlignment="1">
      <alignment horizontal="left"/>
    </xf>
    <xf numFmtId="0" fontId="0" fillId="0" borderId="11" xfId="0" applyBorder="1" applyAlignment="1">
      <alignment horizontal="left"/>
    </xf>
    <xf numFmtId="0" fontId="0" fillId="34" borderId="12" xfId="0" applyFill="1" applyBorder="1" applyAlignment="1">
      <alignment horizontal="center"/>
    </xf>
    <xf numFmtId="0" fontId="0" fillId="34" borderId="13" xfId="0" applyFill="1" applyBorder="1" applyAlignment="1">
      <alignment horizontal="center"/>
    </xf>
    <xf numFmtId="0" fontId="0" fillId="34" borderId="14" xfId="0" applyFill="1" applyBorder="1" applyAlignment="1">
      <alignment horizontal="center"/>
    </xf>
    <xf numFmtId="0" fontId="0" fillId="33" borderId="12" xfId="0" applyFont="1" applyFill="1" applyBorder="1" applyAlignment="1">
      <alignment horizontal="center"/>
    </xf>
    <xf numFmtId="0" fontId="0" fillId="33" borderId="13" xfId="0" applyFont="1" applyFill="1" applyBorder="1" applyAlignment="1">
      <alignment horizontal="center"/>
    </xf>
    <xf numFmtId="0" fontId="0" fillId="33" borderId="14" xfId="0" applyFont="1" applyFill="1" applyBorder="1" applyAlignment="1">
      <alignment horizontal="center"/>
    </xf>
    <xf numFmtId="0" fontId="0" fillId="0" borderId="23" xfId="0" applyNumberFormat="1" applyBorder="1"/>
    <xf numFmtId="0" fontId="0" fillId="0" borderId="17"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167" fontId="0" fillId="0" borderId="23" xfId="0" applyNumberFormat="1" applyBorder="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15">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8"/>
        </bottom>
        <vertical/>
        <horizontal/>
      </border>
    </dxf>
    <dxf>
      <font>
        <color theme="1"/>
      </font>
      <fill>
        <patternFill>
          <bgColor theme="4" tint="-0.24994659260841701"/>
        </patternFill>
      </fill>
      <border diagonalUp="0" diagonalDown="0">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5" formatCode="&quot;$&quot;0.00,,&quot;M&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Instamart Analysis" pivot="0" table="0" count="10" xr9:uid="{E5CC818C-7DBF-4FD4-B2AC-13E4AE792879}">
      <tableStyleElement type="wholeTable" dxfId="1780"/>
      <tableStyleElement type="headerRow" dxfId="1779"/>
    </tableStyle>
  </tableStyles>
  <colors>
    <mruColors>
      <color rgb="FFFAFAFA"/>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Instamar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Desgin'!$B$14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78-42D4-958C-43E1412EBF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78-42D4-958C-43E1412EBF20}"/>
              </c:ext>
            </c:extLst>
          </c:dPt>
          <c:cat>
            <c:strRef>
              <c:f>'Sheet Desgin'!$A$15:$A$17</c:f>
              <c:strCache>
                <c:ptCount val="2"/>
                <c:pt idx="0">
                  <c:v>Low Fat</c:v>
                </c:pt>
                <c:pt idx="1">
                  <c:v>Regular</c:v>
                </c:pt>
              </c:strCache>
            </c:strRef>
          </c:cat>
          <c:val>
            <c:numRef>
              <c:f>'Sheet Desgin'!$B$15:$B$17</c:f>
              <c:numCache>
                <c:formatCode>"$"0.0,"K"</c:formatCode>
                <c:ptCount val="2"/>
                <c:pt idx="0">
                  <c:v>776319.68840000057</c:v>
                </c:pt>
                <c:pt idx="1">
                  <c:v>425361.8043999995</c:v>
                </c:pt>
              </c:numCache>
            </c:numRef>
          </c:val>
          <c:extLst>
            <c:ext xmlns:c16="http://schemas.microsoft.com/office/drawing/2014/chart" uri="{C3380CC4-5D6E-409C-BE32-E72D297353CC}">
              <c16:uniqueId val="{00000000-BD80-4717-B03A-D3C33991EA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Desgin'!$B$26:$B$27</c:f>
              <c:strCache>
                <c:ptCount val="1"/>
                <c:pt idx="0">
                  <c:v>Regular</c:v>
                </c:pt>
              </c:strCache>
            </c:strRef>
          </c:tx>
          <c:spPr>
            <a:solidFill>
              <a:schemeClr val="accent1"/>
            </a:solidFill>
            <a:ln>
              <a:noFill/>
            </a:ln>
            <a:effectLst/>
          </c:spPr>
          <c:invertIfNegative val="0"/>
          <c:cat>
            <c:strRef>
              <c:f>'Sheet Desgin'!$A$28:$A$31</c:f>
              <c:strCache>
                <c:ptCount val="3"/>
                <c:pt idx="0">
                  <c:v>Tier 1</c:v>
                </c:pt>
                <c:pt idx="1">
                  <c:v>Tier 2</c:v>
                </c:pt>
                <c:pt idx="2">
                  <c:v>Tier 3</c:v>
                </c:pt>
              </c:strCache>
            </c:strRef>
          </c:cat>
          <c:val>
            <c:numRef>
              <c:f>'Sheet Desgin'!$B$28:$B$31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6F8-4E46-A429-BFD3ABF896B6}"/>
            </c:ext>
          </c:extLst>
        </c:ser>
        <c:ser>
          <c:idx val="1"/>
          <c:order val="1"/>
          <c:tx>
            <c:strRef>
              <c:f>'Sheet Desgin'!$C$26:$C$27</c:f>
              <c:strCache>
                <c:ptCount val="1"/>
                <c:pt idx="0">
                  <c:v>Low Fat</c:v>
                </c:pt>
              </c:strCache>
            </c:strRef>
          </c:tx>
          <c:spPr>
            <a:solidFill>
              <a:schemeClr val="accent2"/>
            </a:solidFill>
            <a:ln>
              <a:noFill/>
            </a:ln>
            <a:effectLst/>
          </c:spPr>
          <c:invertIfNegative val="0"/>
          <c:cat>
            <c:strRef>
              <c:f>'Sheet Desgin'!$A$28:$A$31</c:f>
              <c:strCache>
                <c:ptCount val="3"/>
                <c:pt idx="0">
                  <c:v>Tier 1</c:v>
                </c:pt>
                <c:pt idx="1">
                  <c:v>Tier 2</c:v>
                </c:pt>
                <c:pt idx="2">
                  <c:v>Tier 3</c:v>
                </c:pt>
              </c:strCache>
            </c:strRef>
          </c:cat>
          <c:val>
            <c:numRef>
              <c:f>'Sheet Desgin'!$C$28:$C$31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6F8-4E46-A429-BFD3ABF896B6}"/>
            </c:ext>
          </c:extLst>
        </c:ser>
        <c:dLbls>
          <c:showLegendKey val="0"/>
          <c:showVal val="0"/>
          <c:showCatName val="0"/>
          <c:showSerName val="0"/>
          <c:showPercent val="0"/>
          <c:showBubbleSize val="0"/>
        </c:dLbls>
        <c:gapWidth val="182"/>
        <c:axId val="1522242703"/>
        <c:axId val="1522243183"/>
      </c:barChart>
      <c:catAx>
        <c:axId val="152224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43183"/>
        <c:crosses val="autoZero"/>
        <c:auto val="1"/>
        <c:lblAlgn val="ctr"/>
        <c:lblOffset val="100"/>
        <c:noMultiLvlLbl val="0"/>
      </c:catAx>
      <c:valAx>
        <c:axId val="1522243183"/>
        <c:scaling>
          <c:orientation val="minMax"/>
        </c:scaling>
        <c:delete val="1"/>
        <c:axPos val="b"/>
        <c:numFmt formatCode="&quot;$&quot;0.0,&quot;K&quot;" sourceLinked="1"/>
        <c:majorTickMark val="none"/>
        <c:minorTickMark val="none"/>
        <c:tickLblPos val="nextTo"/>
        <c:crossAx val="15222427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09059577410445"/>
          <c:y val="0.13309811119656995"/>
          <c:w val="0.6306871884843428"/>
          <c:h val="0.82742819715710303"/>
        </c:manualLayout>
      </c:layout>
      <c:barChart>
        <c:barDir val="bar"/>
        <c:grouping val="clustered"/>
        <c:varyColors val="0"/>
        <c:ser>
          <c:idx val="0"/>
          <c:order val="0"/>
          <c:tx>
            <c:strRef>
              <c:f>'Sheet Desgin'!$B$37</c:f>
              <c:strCache>
                <c:ptCount val="1"/>
                <c:pt idx="0">
                  <c:v>Total</c:v>
                </c:pt>
              </c:strCache>
            </c:strRef>
          </c:tx>
          <c:spPr>
            <a:solidFill>
              <a:schemeClr val="accent1"/>
            </a:solidFill>
            <a:ln>
              <a:noFill/>
            </a:ln>
            <a:effectLst/>
          </c:spPr>
          <c:invertIfNegative val="0"/>
          <c:cat>
            <c:strRef>
              <c:f>'Sheet Desgin'!$A$38:$A$54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Desgin'!$B$38:$B$54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04B-405C-8240-E16ABB5F9C48}"/>
            </c:ext>
          </c:extLst>
        </c:ser>
        <c:dLbls>
          <c:showLegendKey val="0"/>
          <c:showVal val="0"/>
          <c:showCatName val="0"/>
          <c:showSerName val="0"/>
          <c:showPercent val="0"/>
          <c:showBubbleSize val="0"/>
        </c:dLbls>
        <c:gapWidth val="182"/>
        <c:axId val="1467899295"/>
        <c:axId val="1467911295"/>
      </c:barChart>
      <c:catAx>
        <c:axId val="146789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911295"/>
        <c:crosses val="autoZero"/>
        <c:auto val="1"/>
        <c:lblAlgn val="ctr"/>
        <c:lblOffset val="100"/>
        <c:noMultiLvlLbl val="0"/>
      </c:catAx>
      <c:valAx>
        <c:axId val="1467911295"/>
        <c:scaling>
          <c:orientation val="minMax"/>
        </c:scaling>
        <c:delete val="1"/>
        <c:axPos val="b"/>
        <c:numFmt formatCode="&quot;$&quot;0.0,&quot;K&quot;" sourceLinked="1"/>
        <c:majorTickMark val="none"/>
        <c:minorTickMark val="none"/>
        <c:tickLblPos val="nextTo"/>
        <c:crossAx val="146789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Desgin'!$B$62</c:f>
              <c:strCache>
                <c:ptCount val="1"/>
                <c:pt idx="0">
                  <c:v>Total</c:v>
                </c:pt>
              </c:strCache>
            </c:strRef>
          </c:tx>
          <c:spPr>
            <a:solidFill>
              <a:schemeClr val="accent1"/>
            </a:solidFill>
            <a:ln>
              <a:noFill/>
            </a:ln>
            <a:effectLst/>
          </c:spPr>
          <c:cat>
            <c:strRef>
              <c:f>'Sheet Desgin'!$A$63:$A$72</c:f>
              <c:strCache>
                <c:ptCount val="9"/>
                <c:pt idx="0">
                  <c:v>2011</c:v>
                </c:pt>
                <c:pt idx="1">
                  <c:v>2012</c:v>
                </c:pt>
                <c:pt idx="2">
                  <c:v>2014</c:v>
                </c:pt>
                <c:pt idx="3">
                  <c:v>2015</c:v>
                </c:pt>
                <c:pt idx="4">
                  <c:v>2016</c:v>
                </c:pt>
                <c:pt idx="5">
                  <c:v>2017</c:v>
                </c:pt>
                <c:pt idx="6">
                  <c:v>2018</c:v>
                </c:pt>
                <c:pt idx="7">
                  <c:v>2020</c:v>
                </c:pt>
                <c:pt idx="8">
                  <c:v>2022</c:v>
                </c:pt>
              </c:strCache>
            </c:strRef>
          </c:cat>
          <c:val>
            <c:numRef>
              <c:f>'Sheet Desgin'!$B$63:$B$72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975-4CA7-A351-E851E852AB6D}"/>
            </c:ext>
          </c:extLst>
        </c:ser>
        <c:dLbls>
          <c:showLegendKey val="0"/>
          <c:showVal val="0"/>
          <c:showCatName val="0"/>
          <c:showSerName val="0"/>
          <c:showPercent val="0"/>
          <c:showBubbleSize val="0"/>
        </c:dLbls>
        <c:axId val="359767584"/>
        <c:axId val="359768064"/>
      </c:areaChart>
      <c:catAx>
        <c:axId val="359767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68064"/>
        <c:crosses val="autoZero"/>
        <c:auto val="1"/>
        <c:lblAlgn val="ctr"/>
        <c:lblOffset val="100"/>
        <c:noMultiLvlLbl val="0"/>
      </c:catAx>
      <c:valAx>
        <c:axId val="359768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6758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Desgin!PivotTable6</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Desgin'!$B$78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Desgin'!$A$79:$A$82</c:f>
              <c:strCache>
                <c:ptCount val="3"/>
                <c:pt idx="0">
                  <c:v>High</c:v>
                </c:pt>
                <c:pt idx="1">
                  <c:v>Medium</c:v>
                </c:pt>
                <c:pt idx="2">
                  <c:v>Small</c:v>
                </c:pt>
              </c:strCache>
            </c:strRef>
          </c:cat>
          <c:val>
            <c:numRef>
              <c:f>'Sheet Desgin'!$B$79:$B$82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720-431D-8382-C8AF378BD4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Desgin'!$B$109</c:f>
              <c:strCache>
                <c:ptCount val="1"/>
                <c:pt idx="0">
                  <c:v>Total</c:v>
                </c:pt>
              </c:strCache>
            </c:strRef>
          </c:tx>
          <c:spPr>
            <a:solidFill>
              <a:schemeClr val="accent1"/>
            </a:solidFill>
            <a:ln>
              <a:noFill/>
            </a:ln>
            <a:effectLst/>
          </c:spPr>
          <c:invertIfNegative val="0"/>
          <c:cat>
            <c:strRef>
              <c:f>'Sheet Desgin'!$A$110:$A$113</c:f>
              <c:strCache>
                <c:ptCount val="4"/>
                <c:pt idx="0">
                  <c:v>Grocery Store</c:v>
                </c:pt>
                <c:pt idx="1">
                  <c:v>Supermarket Type3</c:v>
                </c:pt>
                <c:pt idx="2">
                  <c:v>Supermarket Type2</c:v>
                </c:pt>
                <c:pt idx="3">
                  <c:v>Supermarket Type1</c:v>
                </c:pt>
              </c:strCache>
            </c:strRef>
          </c:cat>
          <c:val>
            <c:numRef>
              <c:f>'Sheet Desgin'!$B$110:$B$113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D03-4033-95B3-9E12033EC2EC}"/>
            </c:ext>
          </c:extLst>
        </c:ser>
        <c:dLbls>
          <c:showLegendKey val="0"/>
          <c:showVal val="0"/>
          <c:showCatName val="0"/>
          <c:showSerName val="0"/>
          <c:showPercent val="0"/>
          <c:showBubbleSize val="0"/>
        </c:dLbls>
        <c:gapWidth val="182"/>
        <c:axId val="359748384"/>
        <c:axId val="359757504"/>
      </c:barChart>
      <c:catAx>
        <c:axId val="35974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57504"/>
        <c:crosses val="autoZero"/>
        <c:auto val="1"/>
        <c:lblAlgn val="ctr"/>
        <c:lblOffset val="100"/>
        <c:noMultiLvlLbl val="0"/>
      </c:catAx>
      <c:valAx>
        <c:axId val="359757504"/>
        <c:scaling>
          <c:orientation val="minMax"/>
        </c:scaling>
        <c:delete val="1"/>
        <c:axPos val="b"/>
        <c:numFmt formatCode="&quot;$&quot;0.0,&quot;K&quot;" sourceLinked="1"/>
        <c:majorTickMark val="none"/>
        <c:minorTickMark val="none"/>
        <c:tickLblPos val="nextTo"/>
        <c:crossAx val="35974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Desgin'!$B$117</c:f>
              <c:strCache>
                <c:ptCount val="1"/>
                <c:pt idx="0">
                  <c:v>Total</c:v>
                </c:pt>
              </c:strCache>
            </c:strRef>
          </c:tx>
          <c:spPr>
            <a:solidFill>
              <a:schemeClr val="accent1"/>
            </a:solidFill>
            <a:ln>
              <a:noFill/>
            </a:ln>
            <a:effectLst/>
          </c:spPr>
          <c:invertIfNegative val="0"/>
          <c:cat>
            <c:strRef>
              <c:f>'Sheet Desgin'!$A$118:$A$121</c:f>
              <c:strCache>
                <c:ptCount val="4"/>
                <c:pt idx="0">
                  <c:v>Grocery Store</c:v>
                </c:pt>
                <c:pt idx="1">
                  <c:v>Supermarket Type3</c:v>
                </c:pt>
                <c:pt idx="2">
                  <c:v>Supermarket Type2</c:v>
                </c:pt>
                <c:pt idx="3">
                  <c:v>Supermarket Type1</c:v>
                </c:pt>
              </c:strCache>
            </c:strRef>
          </c:cat>
          <c:val>
            <c:numRef>
              <c:f>'Sheet Desgin'!$B$118:$B$121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265-4325-903A-025749E2965F}"/>
            </c:ext>
          </c:extLst>
        </c:ser>
        <c:dLbls>
          <c:showLegendKey val="0"/>
          <c:showVal val="0"/>
          <c:showCatName val="0"/>
          <c:showSerName val="0"/>
          <c:showPercent val="0"/>
          <c:showBubbleSize val="0"/>
        </c:dLbls>
        <c:gapWidth val="182"/>
        <c:axId val="537016896"/>
        <c:axId val="537017856"/>
      </c:barChart>
      <c:catAx>
        <c:axId val="53701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017856"/>
        <c:crosses val="autoZero"/>
        <c:auto val="1"/>
        <c:lblAlgn val="ctr"/>
        <c:lblOffset val="100"/>
        <c:noMultiLvlLbl val="0"/>
      </c:catAx>
      <c:valAx>
        <c:axId val="537017856"/>
        <c:scaling>
          <c:orientation val="minMax"/>
        </c:scaling>
        <c:delete val="1"/>
        <c:axPos val="b"/>
        <c:numFmt formatCode="&quot;$&quot;0" sourceLinked="1"/>
        <c:majorTickMark val="none"/>
        <c:minorTickMark val="none"/>
        <c:tickLblPos val="nextTo"/>
        <c:crossAx val="53701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Desgin'!$B$126</c:f>
              <c:strCache>
                <c:ptCount val="1"/>
                <c:pt idx="0">
                  <c:v>Total</c:v>
                </c:pt>
              </c:strCache>
            </c:strRef>
          </c:tx>
          <c:spPr>
            <a:solidFill>
              <a:schemeClr val="accent1"/>
            </a:solidFill>
            <a:ln>
              <a:noFill/>
            </a:ln>
            <a:effectLst/>
          </c:spPr>
          <c:invertIfNegative val="0"/>
          <c:cat>
            <c:strRef>
              <c:f>'Sheet Desgin'!$A$127:$A$130</c:f>
              <c:strCache>
                <c:ptCount val="4"/>
                <c:pt idx="0">
                  <c:v>Grocery Store</c:v>
                </c:pt>
                <c:pt idx="1">
                  <c:v>Supermarket Type3</c:v>
                </c:pt>
                <c:pt idx="2">
                  <c:v>Supermarket Type2</c:v>
                </c:pt>
                <c:pt idx="3">
                  <c:v>Supermarket Type1</c:v>
                </c:pt>
              </c:strCache>
            </c:strRef>
          </c:cat>
          <c:val>
            <c:numRef>
              <c:f>'Sheet Desgin'!$B$127:$B$130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222-45FC-AB4F-91FE1D07AB64}"/>
            </c:ext>
          </c:extLst>
        </c:ser>
        <c:dLbls>
          <c:showLegendKey val="0"/>
          <c:showVal val="0"/>
          <c:showCatName val="0"/>
          <c:showSerName val="0"/>
          <c:showPercent val="0"/>
          <c:showBubbleSize val="0"/>
        </c:dLbls>
        <c:gapWidth val="182"/>
        <c:axId val="533586128"/>
        <c:axId val="533610608"/>
      </c:barChart>
      <c:catAx>
        <c:axId val="53358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610608"/>
        <c:crosses val="autoZero"/>
        <c:auto val="1"/>
        <c:lblAlgn val="ctr"/>
        <c:lblOffset val="100"/>
        <c:noMultiLvlLbl val="0"/>
      </c:catAx>
      <c:valAx>
        <c:axId val="533610608"/>
        <c:scaling>
          <c:orientation val="minMax"/>
        </c:scaling>
        <c:delete val="1"/>
        <c:axPos val="b"/>
        <c:numFmt formatCode="0" sourceLinked="1"/>
        <c:majorTickMark val="none"/>
        <c:minorTickMark val="none"/>
        <c:tickLblPos val="nextTo"/>
        <c:crossAx val="53358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dLbl>
          <c:idx val="0"/>
          <c:layout>
            <c:manualLayout>
              <c:x val="0.13229166666666667"/>
              <c:y val="3.8695917123704938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918576388888887"/>
                  <c:h val="0.16084602884420068"/>
                </c:manualLayout>
              </c15:layout>
            </c:ext>
          </c:extLst>
        </c:dLbl>
      </c:pivotFmt>
      <c:pivotFmt>
        <c:idx val="6"/>
        <c:spPr>
          <a:solidFill>
            <a:schemeClr val="accent1"/>
          </a:solidFill>
          <a:ln w="19050">
            <a:noFill/>
          </a:ln>
          <a:effectLst/>
        </c:spPr>
        <c:dLbl>
          <c:idx val="0"/>
          <c:layout>
            <c:manualLayout>
              <c:x val="-0.14882812500000001"/>
              <c:y val="-4.5145236644322628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42881944444445"/>
                  <c:h val="0.17374466788543572"/>
                </c:manualLayout>
              </c15:layout>
            </c:ext>
          </c:extLst>
        </c:dLbl>
      </c:pivotFmt>
    </c:pivotFmts>
    <c:plotArea>
      <c:layout/>
      <c:doughnutChart>
        <c:varyColors val="1"/>
        <c:ser>
          <c:idx val="0"/>
          <c:order val="0"/>
          <c:tx>
            <c:strRef>
              <c:f>'Sheet Desgin'!$B$14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2480-48A1-8EA3-A061241E0B75}"/>
              </c:ext>
            </c:extLst>
          </c:dPt>
          <c:dPt>
            <c:idx val="1"/>
            <c:bubble3D val="0"/>
            <c:spPr>
              <a:solidFill>
                <a:schemeClr val="accent2"/>
              </a:solidFill>
              <a:ln w="19050">
                <a:noFill/>
              </a:ln>
              <a:effectLst/>
            </c:spPr>
            <c:extLst>
              <c:ext xmlns:c16="http://schemas.microsoft.com/office/drawing/2014/chart" uri="{C3380CC4-5D6E-409C-BE32-E72D297353CC}">
                <c16:uniqueId val="{00000003-2480-48A1-8EA3-A061241E0B75}"/>
              </c:ext>
            </c:extLst>
          </c:dPt>
          <c:dLbls>
            <c:dLbl>
              <c:idx val="0"/>
              <c:layout>
                <c:manualLayout>
                  <c:x val="0.13229166666666667"/>
                  <c:y val="3.8695917123704938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918576388888887"/>
                      <c:h val="0.16084602884420068"/>
                    </c:manualLayout>
                  </c15:layout>
                </c:ext>
                <c:ext xmlns:c16="http://schemas.microsoft.com/office/drawing/2014/chart" uri="{C3380CC4-5D6E-409C-BE32-E72D297353CC}">
                  <c16:uniqueId val="{00000001-2480-48A1-8EA3-A061241E0B75}"/>
                </c:ext>
              </c:extLst>
            </c:dLbl>
            <c:dLbl>
              <c:idx val="1"/>
              <c:layout>
                <c:manualLayout>
                  <c:x val="-0.14882812500000001"/>
                  <c:y val="-4.5145236644322628E-2"/>
                </c:manualLayout>
              </c:layout>
              <c:showLegendKey val="0"/>
              <c:showVal val="1"/>
              <c:showCatName val="0"/>
              <c:showSerName val="0"/>
              <c:showPercent val="0"/>
              <c:showBubbleSize val="0"/>
              <c:extLst>
                <c:ext xmlns:c15="http://schemas.microsoft.com/office/drawing/2012/chart" uri="{CE6537A1-D6FC-4f65-9D91-7224C49458BB}">
                  <c15:layout>
                    <c:manualLayout>
                      <c:w val="0.24542881944444445"/>
                      <c:h val="0.17374466788543572"/>
                    </c:manualLayout>
                  </c15:layout>
                </c:ext>
                <c:ext xmlns:c16="http://schemas.microsoft.com/office/drawing/2014/chart" uri="{C3380CC4-5D6E-409C-BE32-E72D297353CC}">
                  <c16:uniqueId val="{00000003-2480-48A1-8EA3-A061241E0B75}"/>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 Desgin'!$A$15:$A$17</c:f>
              <c:strCache>
                <c:ptCount val="2"/>
                <c:pt idx="0">
                  <c:v>Low Fat</c:v>
                </c:pt>
                <c:pt idx="1">
                  <c:v>Regular</c:v>
                </c:pt>
              </c:strCache>
            </c:strRef>
          </c:cat>
          <c:val>
            <c:numRef>
              <c:f>'Sheet Desgin'!$B$15:$B$17</c:f>
              <c:numCache>
                <c:formatCode>"$"0.0,"K"</c:formatCode>
                <c:ptCount val="2"/>
                <c:pt idx="0">
                  <c:v>776319.68840000057</c:v>
                </c:pt>
                <c:pt idx="1">
                  <c:v>425361.8043999995</c:v>
                </c:pt>
              </c:numCache>
            </c:numRef>
          </c:val>
          <c:extLst>
            <c:ext xmlns:c16="http://schemas.microsoft.com/office/drawing/2014/chart" uri="{C3380CC4-5D6E-409C-BE32-E72D297353CC}">
              <c16:uniqueId val="{00000004-2480-48A1-8EA3-A061241E0B7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Desgin'!$B$26:$B$27</c:f>
              <c:strCache>
                <c:ptCount val="1"/>
                <c:pt idx="0">
                  <c:v>Regular</c:v>
                </c:pt>
              </c:strCache>
            </c:strRef>
          </c:tx>
          <c:spPr>
            <a:solidFill>
              <a:schemeClr val="accent1"/>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Desgin'!$A$28:$A$31</c:f>
              <c:strCache>
                <c:ptCount val="3"/>
                <c:pt idx="0">
                  <c:v>Tier 1</c:v>
                </c:pt>
                <c:pt idx="1">
                  <c:v>Tier 2</c:v>
                </c:pt>
                <c:pt idx="2">
                  <c:v>Tier 3</c:v>
                </c:pt>
              </c:strCache>
            </c:strRef>
          </c:cat>
          <c:val>
            <c:numRef>
              <c:f>'Sheet Desgin'!$B$28:$B$31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1A5-4E49-BAFB-2BE23A291FAA}"/>
            </c:ext>
          </c:extLst>
        </c:ser>
        <c:ser>
          <c:idx val="1"/>
          <c:order val="1"/>
          <c:tx>
            <c:strRef>
              <c:f>'Sheet Desgin'!$C$26:$C$27</c:f>
              <c:strCache>
                <c:ptCount val="1"/>
                <c:pt idx="0">
                  <c:v>Low Fat</c:v>
                </c:pt>
              </c:strCache>
            </c:strRef>
          </c:tx>
          <c:spPr>
            <a:solidFill>
              <a:schemeClr val="accent2"/>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Desgin'!$A$28:$A$31</c:f>
              <c:strCache>
                <c:ptCount val="3"/>
                <c:pt idx="0">
                  <c:v>Tier 1</c:v>
                </c:pt>
                <c:pt idx="1">
                  <c:v>Tier 2</c:v>
                </c:pt>
                <c:pt idx="2">
                  <c:v>Tier 3</c:v>
                </c:pt>
              </c:strCache>
            </c:strRef>
          </c:cat>
          <c:val>
            <c:numRef>
              <c:f>'Sheet Desgin'!$C$28:$C$31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1A5-4E49-BAFB-2BE23A291FAA}"/>
            </c:ext>
          </c:extLst>
        </c:ser>
        <c:dLbls>
          <c:dLblPos val="outEnd"/>
          <c:showLegendKey val="0"/>
          <c:showVal val="1"/>
          <c:showCatName val="0"/>
          <c:showSerName val="0"/>
          <c:showPercent val="0"/>
          <c:showBubbleSize val="0"/>
        </c:dLbls>
        <c:gapWidth val="182"/>
        <c:axId val="1522242703"/>
        <c:axId val="1522243183"/>
      </c:barChart>
      <c:catAx>
        <c:axId val="152224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522243183"/>
        <c:crosses val="autoZero"/>
        <c:auto val="1"/>
        <c:lblAlgn val="ctr"/>
        <c:lblOffset val="100"/>
        <c:noMultiLvlLbl val="0"/>
      </c:catAx>
      <c:valAx>
        <c:axId val="1522243183"/>
        <c:scaling>
          <c:orientation val="minMax"/>
        </c:scaling>
        <c:delete val="1"/>
        <c:axPos val="b"/>
        <c:numFmt formatCode="&quot;$&quot;0.0,&quot;K&quot;" sourceLinked="1"/>
        <c:majorTickMark val="none"/>
        <c:minorTickMark val="none"/>
        <c:tickLblPos val="nextTo"/>
        <c:crossAx val="15222427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65022403508759"/>
          <c:y val="6.8400500570340098E-2"/>
          <c:w val="0.64512743582726972"/>
          <c:h val="0.89212576276066746"/>
        </c:manualLayout>
      </c:layout>
      <c:barChart>
        <c:barDir val="bar"/>
        <c:grouping val="clustered"/>
        <c:varyColors val="0"/>
        <c:ser>
          <c:idx val="0"/>
          <c:order val="0"/>
          <c:tx>
            <c:strRef>
              <c:f>'Sheet Desgin'!$B$37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Desgin'!$A$38:$A$54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Desgin'!$B$38:$B$54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40D-4BAE-B9FA-F55A76996AED}"/>
            </c:ext>
          </c:extLst>
        </c:ser>
        <c:dLbls>
          <c:dLblPos val="outEnd"/>
          <c:showLegendKey val="0"/>
          <c:showVal val="1"/>
          <c:showCatName val="0"/>
          <c:showSerName val="0"/>
          <c:showPercent val="0"/>
          <c:showBubbleSize val="0"/>
        </c:dLbls>
        <c:gapWidth val="182"/>
        <c:axId val="1467899295"/>
        <c:axId val="1467911295"/>
      </c:barChart>
      <c:catAx>
        <c:axId val="146789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467911295"/>
        <c:crosses val="autoZero"/>
        <c:auto val="1"/>
        <c:lblAlgn val="ctr"/>
        <c:lblOffset val="100"/>
        <c:noMultiLvlLbl val="0"/>
      </c:catAx>
      <c:valAx>
        <c:axId val="1467911295"/>
        <c:scaling>
          <c:orientation val="minMax"/>
        </c:scaling>
        <c:delete val="1"/>
        <c:axPos val="b"/>
        <c:numFmt formatCode="&quot;$&quot;0.0,&quot;K&quot;" sourceLinked="1"/>
        <c:majorTickMark val="none"/>
        <c:minorTickMark val="none"/>
        <c:tickLblPos val="nextTo"/>
        <c:crossAx val="146789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5875">
            <a:solidFill>
              <a:schemeClr val="tx1"/>
            </a:solidFill>
          </a:ln>
          <a:effectLst>
            <a:innerShdw dist="12700" dir="16200000">
              <a:schemeClr val="lt1">
                <a:alpha val="75000"/>
              </a:schemeClr>
            </a:innerShdw>
          </a:effectLst>
        </c:spPr>
        <c:marker>
          <c:symbol val="circle"/>
          <c:size val="5"/>
          <c:spPr>
            <a:solidFill>
              <a:schemeClr val="accent5"/>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5875">
            <a:solidFill>
              <a:schemeClr val="tx1"/>
            </a:solidFill>
          </a:ln>
          <a:effectLst>
            <a:innerShdw dist="12700" dir="16200000">
              <a:schemeClr val="lt1">
                <a:alpha val="75000"/>
              </a:schemeClr>
            </a:innerShdw>
          </a:effectLst>
        </c:spPr>
        <c:dLbl>
          <c:idx val="0"/>
          <c:layout>
            <c:manualLayout>
              <c:x val="0"/>
              <c:y val="-0.206185455429036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5875">
            <a:solidFill>
              <a:schemeClr val="tx1"/>
            </a:solidFill>
          </a:ln>
          <a:effectLst>
            <a:innerShdw dist="12700" dir="16200000">
              <a:schemeClr val="lt1">
                <a:alpha val="75000"/>
              </a:schemeClr>
            </a:innerShdw>
          </a:effectLst>
        </c:spPr>
        <c:dLbl>
          <c:idx val="0"/>
          <c:layout>
            <c:manualLayout>
              <c:x val="2.1470746108427268E-3"/>
              <c:y val="-0.288659637600650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5875">
            <a:solidFill>
              <a:schemeClr val="tx1"/>
            </a:solidFill>
          </a:ln>
          <a:effectLst>
            <a:innerShdw dist="12700" dir="16200000">
              <a:schemeClr val="lt1">
                <a:alpha val="75000"/>
              </a:schemeClr>
            </a:innerShdw>
          </a:effectLst>
        </c:spPr>
        <c:dLbl>
          <c:idx val="0"/>
          <c:layout>
            <c:manualLayout>
              <c:x val="-8.5882984433709071E-3"/>
              <c:y val="-0.309278183143554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5875">
            <a:solidFill>
              <a:schemeClr val="tx1"/>
            </a:solidFill>
          </a:ln>
          <a:effectLst>
            <a:innerShdw dist="12700" dir="16200000">
              <a:schemeClr val="lt1">
                <a:alpha val="75000"/>
              </a:schemeClr>
            </a:innerShdw>
          </a:effectLst>
        </c:spPr>
        <c:dLbl>
          <c:idx val="0"/>
          <c:layout>
            <c:manualLayout>
              <c:x val="-1.2882447665056361E-2"/>
              <c:y val="-0.31615103165785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5875">
            <a:solidFill>
              <a:schemeClr val="tx1"/>
            </a:solidFill>
          </a:ln>
          <a:effectLst>
            <a:innerShdw dist="12700" dir="16200000">
              <a:schemeClr val="lt1">
                <a:alpha val="75000"/>
              </a:schemeClr>
            </a:innerShdw>
          </a:effectLst>
        </c:spPr>
        <c:dLbl>
          <c:idx val="0"/>
          <c:layout>
            <c:manualLayout>
              <c:x val="-2.1470746108427268E-3"/>
              <c:y val="-0.32989672868645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5875">
            <a:solidFill>
              <a:schemeClr val="tx1"/>
            </a:solidFill>
          </a:ln>
          <a:effectLst>
            <a:innerShdw dist="12700" dir="16200000">
              <a:schemeClr val="lt1">
                <a:alpha val="75000"/>
              </a:schemeClr>
            </a:innerShdw>
          </a:effectLst>
        </c:spPr>
        <c:dLbl>
          <c:idx val="0"/>
          <c:layout>
            <c:manualLayout>
              <c:x val="-6.4412238325281803E-3"/>
              <c:y val="-0.364260971257963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w="15875">
            <a:solidFill>
              <a:schemeClr val="tx1"/>
            </a:solidFill>
          </a:ln>
          <a:effectLst>
            <a:innerShdw dist="12700" dir="16200000">
              <a:schemeClr val="lt1">
                <a:alpha val="75000"/>
              </a:schemeClr>
            </a:innerShdw>
          </a:effectLst>
        </c:spPr>
        <c:dLbl>
          <c:idx val="0"/>
          <c:layout>
            <c:manualLayout>
              <c:x val="1.932367149758454E-2"/>
              <c:y val="-0.460480850458180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w="15875">
            <a:solidFill>
              <a:schemeClr val="tx1"/>
            </a:solidFill>
          </a:ln>
          <a:effectLst>
            <a:innerShdw dist="12700" dir="16200000">
              <a:schemeClr val="lt1">
                <a:alpha val="75000"/>
              </a:schemeClr>
            </a:innerShdw>
          </a:effectLst>
        </c:spPr>
        <c:dLbl>
          <c:idx val="0"/>
          <c:layout>
            <c:manualLayout>
              <c:x val="-6.4412238325281803E-3"/>
              <c:y val="-0.364260971257963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w="15875">
            <a:solidFill>
              <a:schemeClr val="tx1"/>
            </a:solidFill>
          </a:ln>
          <a:effectLst>
            <a:innerShdw dist="12700" dir="16200000">
              <a:schemeClr val="lt1">
                <a:alpha val="75000"/>
              </a:schemeClr>
            </a:innerShdw>
          </a:effectLst>
        </c:spPr>
        <c:dLbl>
          <c:idx val="0"/>
          <c:layout>
            <c:manualLayout>
              <c:x val="-1.2882447665056361E-2"/>
              <c:y val="-0.364260971257963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1084272678476E-2"/>
          <c:y val="7.560133365731328E-2"/>
          <c:w val="0.93292538915727319"/>
          <c:h val="0.76496048653273452"/>
        </c:manualLayout>
      </c:layout>
      <c:areaChart>
        <c:grouping val="standard"/>
        <c:varyColors val="0"/>
        <c:ser>
          <c:idx val="0"/>
          <c:order val="0"/>
          <c:tx>
            <c:strRef>
              <c:f>'Sheet Desgin'!$B$62</c:f>
              <c:strCache>
                <c:ptCount val="1"/>
                <c:pt idx="0">
                  <c:v>Total</c:v>
                </c:pt>
              </c:strCache>
            </c:strRef>
          </c:tx>
          <c:spPr>
            <a:solidFill>
              <a:schemeClr val="accent5"/>
            </a:solidFill>
            <a:ln w="15875">
              <a:solidFill>
                <a:schemeClr val="tx1"/>
              </a:solidFill>
            </a:ln>
            <a:effectLst>
              <a:innerShdw dist="12700" dir="16200000">
                <a:schemeClr val="lt1">
                  <a:alpha val="75000"/>
                </a:schemeClr>
              </a:innerShdw>
            </a:effectLst>
          </c:spPr>
          <c:dLbls>
            <c:dLbl>
              <c:idx val="0"/>
              <c:layout>
                <c:manualLayout>
                  <c:x val="0"/>
                  <c:y val="-0.206185455429036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DA-479E-BD45-AE611731EF03}"/>
                </c:ext>
              </c:extLst>
            </c:dLbl>
            <c:dLbl>
              <c:idx val="1"/>
              <c:layout>
                <c:manualLayout>
                  <c:x val="2.1470746108427268E-3"/>
                  <c:y val="-0.288659637600650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DA-479E-BD45-AE611731EF03}"/>
                </c:ext>
              </c:extLst>
            </c:dLbl>
            <c:dLbl>
              <c:idx val="2"/>
              <c:layout>
                <c:manualLayout>
                  <c:x val="-8.5882984433709071E-3"/>
                  <c:y val="-0.309278183143554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DA-479E-BD45-AE611731EF03}"/>
                </c:ext>
              </c:extLst>
            </c:dLbl>
            <c:dLbl>
              <c:idx val="3"/>
              <c:layout>
                <c:manualLayout>
                  <c:x val="-1.2882447665056361E-2"/>
                  <c:y val="-0.31615103165785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DA-479E-BD45-AE611731EF03}"/>
                </c:ext>
              </c:extLst>
            </c:dLbl>
            <c:dLbl>
              <c:idx val="4"/>
              <c:layout>
                <c:manualLayout>
                  <c:x val="-2.1470746108427268E-3"/>
                  <c:y val="-0.329896728686457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DA-479E-BD45-AE611731EF03}"/>
                </c:ext>
              </c:extLst>
            </c:dLbl>
            <c:dLbl>
              <c:idx val="5"/>
              <c:layout>
                <c:manualLayout>
                  <c:x val="-6.4412238325281803E-3"/>
                  <c:y val="-0.364260971257963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5DA-479E-BD45-AE611731EF03}"/>
                </c:ext>
              </c:extLst>
            </c:dLbl>
            <c:dLbl>
              <c:idx val="6"/>
              <c:layout>
                <c:manualLayout>
                  <c:x val="1.932367149758454E-2"/>
                  <c:y val="-0.460480850458180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DA-479E-BD45-AE611731EF03}"/>
                </c:ext>
              </c:extLst>
            </c:dLbl>
            <c:dLbl>
              <c:idx val="7"/>
              <c:layout>
                <c:manualLayout>
                  <c:x val="-6.4412238325281803E-3"/>
                  <c:y val="-0.364260971257963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5DA-479E-BD45-AE611731EF03}"/>
                </c:ext>
              </c:extLst>
            </c:dLbl>
            <c:dLbl>
              <c:idx val="8"/>
              <c:layout>
                <c:manualLayout>
                  <c:x val="-1.2882447665056361E-2"/>
                  <c:y val="-0.364260971257963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5DA-479E-BD45-AE611731EF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Desgin'!$A$63:$A$72</c:f>
              <c:strCache>
                <c:ptCount val="9"/>
                <c:pt idx="0">
                  <c:v>2011</c:v>
                </c:pt>
                <c:pt idx="1">
                  <c:v>2012</c:v>
                </c:pt>
                <c:pt idx="2">
                  <c:v>2014</c:v>
                </c:pt>
                <c:pt idx="3">
                  <c:v>2015</c:v>
                </c:pt>
                <c:pt idx="4">
                  <c:v>2016</c:v>
                </c:pt>
                <c:pt idx="5">
                  <c:v>2017</c:v>
                </c:pt>
                <c:pt idx="6">
                  <c:v>2018</c:v>
                </c:pt>
                <c:pt idx="7">
                  <c:v>2020</c:v>
                </c:pt>
                <c:pt idx="8">
                  <c:v>2022</c:v>
                </c:pt>
              </c:strCache>
            </c:strRef>
          </c:cat>
          <c:val>
            <c:numRef>
              <c:f>'Sheet Desgin'!$B$63:$B$72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5DA-479E-BD45-AE611731EF0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59767584"/>
        <c:axId val="359768064"/>
      </c:areaChart>
      <c:catAx>
        <c:axId val="35976758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359768064"/>
        <c:crosses val="autoZero"/>
        <c:auto val="1"/>
        <c:lblAlgn val="ctr"/>
        <c:lblOffset val="100"/>
        <c:noMultiLvlLbl val="0"/>
      </c:catAx>
      <c:valAx>
        <c:axId val="3597680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3597675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Desgin!PivotTable6</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145243282498184"/>
              <c:y val="-0.135466666666666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9829339143064634"/>
              <c:y val="3.386666666666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834422657952072"/>
              <c:y val="-0.112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Desgin'!$B$78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E2-402E-B937-809741BE31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E2-402E-B937-809741BE31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E2-402E-B937-809741BE31DB}"/>
              </c:ext>
            </c:extLst>
          </c:dPt>
          <c:dLbls>
            <c:dLbl>
              <c:idx val="0"/>
              <c:layout>
                <c:manualLayout>
                  <c:x val="0.10145243282498184"/>
                  <c:y val="-0.135466666666666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E2-402E-B937-809741BE31DB}"/>
                </c:ext>
              </c:extLst>
            </c:dLbl>
            <c:dLbl>
              <c:idx val="1"/>
              <c:layout>
                <c:manualLayout>
                  <c:x val="0.19829339143064634"/>
                  <c:y val="3.3866666666666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E2-402E-B937-809741BE31DB}"/>
                </c:ext>
              </c:extLst>
            </c:dLbl>
            <c:dLbl>
              <c:idx val="2"/>
              <c:layout>
                <c:manualLayout>
                  <c:x val="-0.13834422657952072"/>
                  <c:y val="-0.112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E2-402E-B937-809741BE31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Desgin'!$A$79:$A$82</c:f>
              <c:strCache>
                <c:ptCount val="3"/>
                <c:pt idx="0">
                  <c:v>High</c:v>
                </c:pt>
                <c:pt idx="1">
                  <c:v>Medium</c:v>
                </c:pt>
                <c:pt idx="2">
                  <c:v>Small</c:v>
                </c:pt>
              </c:strCache>
            </c:strRef>
          </c:cat>
          <c:val>
            <c:numRef>
              <c:f>'Sheet Desgin'!$B$79:$B$82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4E2-402E-B937-809741BE31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Desgin'!$B$109</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Desgin'!$A$110:$A$113</c:f>
              <c:strCache>
                <c:ptCount val="4"/>
                <c:pt idx="0">
                  <c:v>Grocery Store</c:v>
                </c:pt>
                <c:pt idx="1">
                  <c:v>Supermarket Type3</c:v>
                </c:pt>
                <c:pt idx="2">
                  <c:v>Supermarket Type2</c:v>
                </c:pt>
                <c:pt idx="3">
                  <c:v>Supermarket Type1</c:v>
                </c:pt>
              </c:strCache>
            </c:strRef>
          </c:cat>
          <c:val>
            <c:numRef>
              <c:f>'Sheet Desgin'!$B$110:$B$113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806-4C64-AE0A-BCCD668368F1}"/>
            </c:ext>
          </c:extLst>
        </c:ser>
        <c:dLbls>
          <c:showLegendKey val="0"/>
          <c:showVal val="0"/>
          <c:showCatName val="0"/>
          <c:showSerName val="0"/>
          <c:showPercent val="0"/>
          <c:showBubbleSize val="0"/>
        </c:dLbls>
        <c:gapWidth val="182"/>
        <c:axId val="359748384"/>
        <c:axId val="359757504"/>
      </c:barChart>
      <c:catAx>
        <c:axId val="35974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59757504"/>
        <c:crosses val="autoZero"/>
        <c:auto val="1"/>
        <c:lblAlgn val="ctr"/>
        <c:lblOffset val="100"/>
        <c:noMultiLvlLbl val="0"/>
      </c:catAx>
      <c:valAx>
        <c:axId val="359757504"/>
        <c:scaling>
          <c:orientation val="minMax"/>
        </c:scaling>
        <c:delete val="1"/>
        <c:axPos val="b"/>
        <c:numFmt formatCode="&quot;$&quot;0.0,&quot;K&quot;" sourceLinked="1"/>
        <c:majorTickMark val="none"/>
        <c:minorTickMark val="none"/>
        <c:tickLblPos val="nextTo"/>
        <c:crossAx val="35974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Desgin'!$B$117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Desgin'!$A$118:$A$121</c:f>
              <c:strCache>
                <c:ptCount val="4"/>
                <c:pt idx="0">
                  <c:v>Grocery Store</c:v>
                </c:pt>
                <c:pt idx="1">
                  <c:v>Supermarket Type3</c:v>
                </c:pt>
                <c:pt idx="2">
                  <c:v>Supermarket Type2</c:v>
                </c:pt>
                <c:pt idx="3">
                  <c:v>Supermarket Type1</c:v>
                </c:pt>
              </c:strCache>
            </c:strRef>
          </c:cat>
          <c:val>
            <c:numRef>
              <c:f>'Sheet Desgin'!$B$118:$B$121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61E-4D06-A913-A535C6FBBCF2}"/>
            </c:ext>
          </c:extLst>
        </c:ser>
        <c:dLbls>
          <c:showLegendKey val="0"/>
          <c:showVal val="0"/>
          <c:showCatName val="0"/>
          <c:showSerName val="0"/>
          <c:showPercent val="0"/>
          <c:showBubbleSize val="0"/>
        </c:dLbls>
        <c:gapWidth val="182"/>
        <c:axId val="537016896"/>
        <c:axId val="537017856"/>
      </c:barChart>
      <c:catAx>
        <c:axId val="537016896"/>
        <c:scaling>
          <c:orientation val="minMax"/>
        </c:scaling>
        <c:delete val="1"/>
        <c:axPos val="l"/>
        <c:numFmt formatCode="General" sourceLinked="1"/>
        <c:majorTickMark val="none"/>
        <c:minorTickMark val="none"/>
        <c:tickLblPos val="nextTo"/>
        <c:crossAx val="537017856"/>
        <c:crosses val="autoZero"/>
        <c:auto val="1"/>
        <c:lblAlgn val="ctr"/>
        <c:lblOffset val="100"/>
        <c:noMultiLvlLbl val="0"/>
      </c:catAx>
      <c:valAx>
        <c:axId val="537017856"/>
        <c:scaling>
          <c:orientation val="minMax"/>
        </c:scaling>
        <c:delete val="1"/>
        <c:axPos val="b"/>
        <c:numFmt formatCode="&quot;$&quot;0" sourceLinked="1"/>
        <c:majorTickMark val="none"/>
        <c:minorTickMark val="none"/>
        <c:tickLblPos val="nextTo"/>
        <c:crossAx val="53701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[InstaMart_Data.xlsx]Sheet Desgin!PivotTable10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Desgin'!$B$126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Desgin'!$A$127:$A$130</c:f>
              <c:strCache>
                <c:ptCount val="4"/>
                <c:pt idx="0">
                  <c:v>Grocery Store</c:v>
                </c:pt>
                <c:pt idx="1">
                  <c:v>Supermarket Type3</c:v>
                </c:pt>
                <c:pt idx="2">
                  <c:v>Supermarket Type2</c:v>
                </c:pt>
                <c:pt idx="3">
                  <c:v>Supermarket Type1</c:v>
                </c:pt>
              </c:strCache>
            </c:strRef>
          </c:cat>
          <c:val>
            <c:numRef>
              <c:f>'Sheet Desgin'!$B$127:$B$130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3F7-4F8E-AF41-E48E0E979091}"/>
            </c:ext>
          </c:extLst>
        </c:ser>
        <c:dLbls>
          <c:showLegendKey val="0"/>
          <c:showVal val="0"/>
          <c:showCatName val="0"/>
          <c:showSerName val="0"/>
          <c:showPercent val="0"/>
          <c:showBubbleSize val="0"/>
        </c:dLbls>
        <c:gapWidth val="182"/>
        <c:axId val="533586128"/>
        <c:axId val="533610608"/>
      </c:barChart>
      <c:catAx>
        <c:axId val="533586128"/>
        <c:scaling>
          <c:orientation val="minMax"/>
        </c:scaling>
        <c:delete val="1"/>
        <c:axPos val="l"/>
        <c:numFmt formatCode="General" sourceLinked="1"/>
        <c:majorTickMark val="none"/>
        <c:minorTickMark val="none"/>
        <c:tickLblPos val="nextTo"/>
        <c:crossAx val="533610608"/>
        <c:crosses val="autoZero"/>
        <c:auto val="1"/>
        <c:lblAlgn val="ctr"/>
        <c:lblOffset val="100"/>
        <c:noMultiLvlLbl val="0"/>
      </c:catAx>
      <c:valAx>
        <c:axId val="533610608"/>
        <c:scaling>
          <c:orientation val="minMax"/>
        </c:scaling>
        <c:delete val="1"/>
        <c:axPos val="b"/>
        <c:numFmt formatCode="0" sourceLinked="1"/>
        <c:majorTickMark val="none"/>
        <c:minorTickMark val="none"/>
        <c:tickLblPos val="nextTo"/>
        <c:crossAx val="53358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2AF1A3C-B3E5-426C-B595-E73ECE2CA406}">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Chart Title</cx:v>
        </cx:txData>
      </cx:tx>
      <cx:txPr>
        <a:bodyPr vertOverflow="overflow" horzOverflow="overflow" wrap="square" lIns="0" tIns="0" rIns="0" bIns="0"/>
        <a:lstStyle/>
        <a:p>
          <a:pPr algn="ctr" rtl="0">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r>
            <a: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rPr>
            <a:t>Chart Title</a:t>
          </a:r>
        </a:p>
      </cx:txPr>
    </cx:title>
    <cx:plotArea>
      <cx:plotAreaRegion>
        <cx:series layoutId="funnel" uniqueId="{C2AF1A3C-B3E5-426C-B595-E73ECE2CA406}">
          <cx:tx>
            <cx:txData>
              <cx:f>_xlchart.v2.4</cx:f>
              <cx:v>SALES</cx:v>
            </cx:txData>
          </cx:tx>
          <cx:spPr>
            <a:solidFill>
              <a:schemeClr val="accent1">
                <a:lumMod val="60000"/>
                <a:lumOff val="40000"/>
              </a:schemeClr>
            </a:solidFill>
            <a:ln>
              <a:noFill/>
            </a:ln>
          </cx:spPr>
          <cx:dataPt idx="0">
            <cx:spPr>
              <a:solidFill>
                <a:srgbClr val="5B9BD5"/>
              </a:solidFill>
            </cx:spPr>
          </cx:dataPt>
          <cx:dataPt idx="1">
            <cx:spPr>
              <a:solidFill>
                <a:srgbClr val="5B9BD5">
                  <a:lumMod val="60000"/>
                  <a:lumOff val="40000"/>
                </a:srgbClr>
              </a:solidFill>
            </cx:spPr>
          </cx:dataPt>
          <cx:dataPt idx="2">
            <cx:spPr>
              <a:solidFill>
                <a:srgbClr val="5B9BD5">
                  <a:lumMod val="40000"/>
                  <a:lumOff val="60000"/>
                </a:srgbClr>
              </a:solidFill>
            </cx:spPr>
          </cx:dataPt>
          <cx:dataLabels>
            <cx:txPr>
              <a:bodyPr spcFirstLastPara="1" vertOverflow="ellipsis" horzOverflow="overflow" wrap="square" lIns="0" tIns="0" rIns="0" bIns="0" anchor="ctr" anchorCtr="1"/>
              <a:lstStyle/>
              <a:p>
                <a:pPr algn="ctr" rtl="0">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endParaRPr>
              </a:p>
            </cx:tx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6</xdr:col>
      <xdr:colOff>846</xdr:colOff>
      <xdr:row>1</xdr:row>
      <xdr:rowOff>35562</xdr:rowOff>
    </xdr:from>
    <xdr:to>
      <xdr:col>8</xdr:col>
      <xdr:colOff>491913</xdr:colOff>
      <xdr:row>7</xdr:row>
      <xdr:rowOff>186268</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A8FBA049-BD5E-F2CE-B6CA-ACF09FF5A2D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512646" y="238762"/>
              <a:ext cx="1828800" cy="1344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355600</xdr:colOff>
      <xdr:row>13</xdr:row>
      <xdr:rowOff>93134</xdr:rowOff>
    </xdr:from>
    <xdr:to>
      <xdr:col>4</xdr:col>
      <xdr:colOff>457200</xdr:colOff>
      <xdr:row>20</xdr:row>
      <xdr:rowOff>127000</xdr:rowOff>
    </xdr:to>
    <xdr:graphicFrame macro="">
      <xdr:nvGraphicFramePr>
        <xdr:cNvPr id="4" name="Chart 3">
          <a:extLst>
            <a:ext uri="{FF2B5EF4-FFF2-40B4-BE49-F238E27FC236}">
              <a16:creationId xmlns:a16="http://schemas.microsoft.com/office/drawing/2014/main" id="{05DEDB8B-EABC-B9C3-B72C-7CB649DC1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42332</xdr:colOff>
      <xdr:row>24</xdr:row>
      <xdr:rowOff>203200</xdr:rowOff>
    </xdr:from>
    <xdr:to>
      <xdr:col>6</xdr:col>
      <xdr:colOff>634999</xdr:colOff>
      <xdr:row>31</xdr:row>
      <xdr:rowOff>93133</xdr:rowOff>
    </xdr:to>
    <xdr:graphicFrame macro="">
      <xdr:nvGraphicFramePr>
        <xdr:cNvPr id="5" name="Chart 4">
          <a:extLst>
            <a:ext uri="{FF2B5EF4-FFF2-40B4-BE49-F238E27FC236}">
              <a16:creationId xmlns:a16="http://schemas.microsoft.com/office/drawing/2014/main" id="{79023523-2E3D-188F-F733-0F19CB256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296331</xdr:colOff>
      <xdr:row>36</xdr:row>
      <xdr:rowOff>67734</xdr:rowOff>
    </xdr:from>
    <xdr:to>
      <xdr:col>6</xdr:col>
      <xdr:colOff>558799</xdr:colOff>
      <xdr:row>54</xdr:row>
      <xdr:rowOff>84667</xdr:rowOff>
    </xdr:to>
    <xdr:graphicFrame macro="">
      <xdr:nvGraphicFramePr>
        <xdr:cNvPr id="6" name="Chart 5">
          <a:extLst>
            <a:ext uri="{FF2B5EF4-FFF2-40B4-BE49-F238E27FC236}">
              <a16:creationId xmlns:a16="http://schemas.microsoft.com/office/drawing/2014/main" id="{CA7861E2-A689-03FC-BC00-558C51385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186266</xdr:colOff>
      <xdr:row>61</xdr:row>
      <xdr:rowOff>186265</xdr:rowOff>
    </xdr:from>
    <xdr:to>
      <xdr:col>5</xdr:col>
      <xdr:colOff>262466</xdr:colOff>
      <xdr:row>70</xdr:row>
      <xdr:rowOff>143932</xdr:rowOff>
    </xdr:to>
    <xdr:graphicFrame macro="">
      <xdr:nvGraphicFramePr>
        <xdr:cNvPr id="3" name="Chart 2">
          <a:extLst>
            <a:ext uri="{FF2B5EF4-FFF2-40B4-BE49-F238E27FC236}">
              <a16:creationId xmlns:a16="http://schemas.microsoft.com/office/drawing/2014/main" id="{D9796066-3598-59D4-3D69-DE603B2D0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296334</xdr:colOff>
      <xdr:row>77</xdr:row>
      <xdr:rowOff>25401</xdr:rowOff>
    </xdr:from>
    <xdr:to>
      <xdr:col>4</xdr:col>
      <xdr:colOff>533400</xdr:colOff>
      <xdr:row>86</xdr:row>
      <xdr:rowOff>169335</xdr:rowOff>
    </xdr:to>
    <xdr:graphicFrame macro="">
      <xdr:nvGraphicFramePr>
        <xdr:cNvPr id="7" name="Chart 6">
          <a:extLst>
            <a:ext uri="{FF2B5EF4-FFF2-40B4-BE49-F238E27FC236}">
              <a16:creationId xmlns:a16="http://schemas.microsoft.com/office/drawing/2014/main" id="{46CC6E8F-BF4F-5B8F-3ACF-D78CFC240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660399</xdr:colOff>
      <xdr:row>92</xdr:row>
      <xdr:rowOff>203199</xdr:rowOff>
    </xdr:from>
    <xdr:to>
      <xdr:col>9</xdr:col>
      <xdr:colOff>584199</xdr:colOff>
      <xdr:row>102</xdr:row>
      <xdr:rowOff>50799</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9D6A4659-B5B8-BD14-C357-DF23C55616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39732" y="18474266"/>
              <a:ext cx="3268134" cy="1828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135467</xdr:colOff>
      <xdr:row>108</xdr:row>
      <xdr:rowOff>67733</xdr:rowOff>
    </xdr:from>
    <xdr:to>
      <xdr:col>4</xdr:col>
      <xdr:colOff>618066</xdr:colOff>
      <xdr:row>115</xdr:row>
      <xdr:rowOff>76199</xdr:rowOff>
    </xdr:to>
    <xdr:graphicFrame macro="">
      <xdr:nvGraphicFramePr>
        <xdr:cNvPr id="9" name="Chart 8">
          <a:extLst>
            <a:ext uri="{FF2B5EF4-FFF2-40B4-BE49-F238E27FC236}">
              <a16:creationId xmlns:a16="http://schemas.microsoft.com/office/drawing/2014/main" id="{ACF67B98-1251-A163-DA9A-23F0DF2EB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143934</xdr:colOff>
      <xdr:row>116</xdr:row>
      <xdr:rowOff>42333</xdr:rowOff>
    </xdr:from>
    <xdr:to>
      <xdr:col>4</xdr:col>
      <xdr:colOff>618066</xdr:colOff>
      <xdr:row>123</xdr:row>
      <xdr:rowOff>110067</xdr:rowOff>
    </xdr:to>
    <xdr:graphicFrame macro="">
      <xdr:nvGraphicFramePr>
        <xdr:cNvPr id="10" name="Chart 9">
          <a:extLst>
            <a:ext uri="{FF2B5EF4-FFF2-40B4-BE49-F238E27FC236}">
              <a16:creationId xmlns:a16="http://schemas.microsoft.com/office/drawing/2014/main" id="{BDB843F6-C7CB-758C-083F-46B686F06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110066</xdr:colOff>
      <xdr:row>124</xdr:row>
      <xdr:rowOff>194734</xdr:rowOff>
    </xdr:from>
    <xdr:to>
      <xdr:col>4</xdr:col>
      <xdr:colOff>626533</xdr:colOff>
      <xdr:row>131</xdr:row>
      <xdr:rowOff>152400</xdr:rowOff>
    </xdr:to>
    <xdr:graphicFrame macro="">
      <xdr:nvGraphicFramePr>
        <xdr:cNvPr id="11" name="Chart 10">
          <a:extLst>
            <a:ext uri="{FF2B5EF4-FFF2-40B4-BE49-F238E27FC236}">
              <a16:creationId xmlns:a16="http://schemas.microsoft.com/office/drawing/2014/main" id="{F38AABAD-C964-1080-3B07-1AE4C3F7F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260772</xdr:colOff>
      <xdr:row>91</xdr:row>
      <xdr:rowOff>186267</xdr:rowOff>
    </xdr:from>
    <xdr:to>
      <xdr:col>13</xdr:col>
      <xdr:colOff>82972</xdr:colOff>
      <xdr:row>98</xdr:row>
      <xdr:rowOff>152400</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CA8C8E97-5727-5953-D744-6E37E9617EC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862905" y="18262600"/>
              <a:ext cx="1828800" cy="1363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149013</xdr:colOff>
      <xdr:row>35</xdr:row>
      <xdr:rowOff>157480</xdr:rowOff>
    </xdr:from>
    <xdr:to>
      <xdr:col>9</xdr:col>
      <xdr:colOff>640079</xdr:colOff>
      <xdr:row>49</xdr:row>
      <xdr:rowOff>109855</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2C5D5F3A-BE60-960B-2F0B-4FD7392EB15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744546" y="7184813"/>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38099</xdr:colOff>
      <xdr:row>0</xdr:row>
      <xdr:rowOff>180974</xdr:rowOff>
    </xdr:from>
    <xdr:to>
      <xdr:col>24</xdr:col>
      <xdr:colOff>129599</xdr:colOff>
      <xdr:row>40</xdr:row>
      <xdr:rowOff>17174</xdr:rowOff>
    </xdr:to>
    <xdr:sp macro="" textlink="">
      <xdr:nvSpPr>
        <xdr:cNvPr id="2" name="Rectangle 1">
          <a:extLst>
            <a:ext uri="{FF2B5EF4-FFF2-40B4-BE49-F238E27FC236}">
              <a16:creationId xmlns:a16="http://schemas.microsoft.com/office/drawing/2014/main" id="{D223BB88-A47F-A582-CDB9-9221B69044D0}"/>
            </a:ext>
          </a:extLst>
        </xdr:cNvPr>
        <xdr:cNvSpPr/>
      </xdr:nvSpPr>
      <xdr:spPr>
        <a:xfrm>
          <a:off x="1371599" y="180974"/>
          <a:ext cx="14760000" cy="7837200"/>
        </a:xfrm>
        <a:prstGeom prst="rect">
          <a:avLst/>
        </a:prstGeom>
        <a:noFill/>
        <a:ln w="127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2</xdr:col>
      <xdr:colOff>219072</xdr:colOff>
      <xdr:row>1</xdr:row>
      <xdr:rowOff>142874</xdr:rowOff>
    </xdr:from>
    <xdr:to>
      <xdr:col>5</xdr:col>
      <xdr:colOff>409573</xdr:colOff>
      <xdr:row>39</xdr:row>
      <xdr:rowOff>85725</xdr:rowOff>
    </xdr:to>
    <xdr:sp macro="" textlink="">
      <xdr:nvSpPr>
        <xdr:cNvPr id="3" name="Rectangle: Top Corners Rounded 2">
          <a:extLst>
            <a:ext uri="{FF2B5EF4-FFF2-40B4-BE49-F238E27FC236}">
              <a16:creationId xmlns:a16="http://schemas.microsoft.com/office/drawing/2014/main" id="{24137A7D-1CFE-D45F-1318-6EC38F1DF1BB}"/>
            </a:ext>
          </a:extLst>
        </xdr:cNvPr>
        <xdr:cNvSpPr/>
      </xdr:nvSpPr>
      <xdr:spPr>
        <a:xfrm rot="5400000">
          <a:off x="-1123953" y="3019424"/>
          <a:ext cx="7543801" cy="2190751"/>
        </a:xfrm>
        <a:prstGeom prst="round2Same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238125</xdr:colOff>
      <xdr:row>2</xdr:row>
      <xdr:rowOff>85724</xdr:rowOff>
    </xdr:from>
    <xdr:to>
      <xdr:col>5</xdr:col>
      <xdr:colOff>419100</xdr:colOff>
      <xdr:row>5</xdr:row>
      <xdr:rowOff>161924</xdr:rowOff>
    </xdr:to>
    <xdr:sp macro="" textlink="">
      <xdr:nvSpPr>
        <xdr:cNvPr id="4" name="TextBox 3">
          <a:extLst>
            <a:ext uri="{FF2B5EF4-FFF2-40B4-BE49-F238E27FC236}">
              <a16:creationId xmlns:a16="http://schemas.microsoft.com/office/drawing/2014/main" id="{8041198A-8DAE-30AF-9789-3CB8FDFE1104}"/>
            </a:ext>
          </a:extLst>
        </xdr:cNvPr>
        <xdr:cNvSpPr txBox="1"/>
      </xdr:nvSpPr>
      <xdr:spPr>
        <a:xfrm>
          <a:off x="1571625" y="485774"/>
          <a:ext cx="2181225"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chemeClr val="bg1"/>
              </a:solidFill>
              <a:latin typeface="Segoe UI Black" panose="020B0A02040204020203" pitchFamily="34" charset="0"/>
              <a:ea typeface="Segoe UI Black" panose="020B0A02040204020203" pitchFamily="34" charset="0"/>
            </a:rPr>
            <a:t>Instamart</a:t>
          </a:r>
        </a:p>
      </xdr:txBody>
    </xdr:sp>
    <xdr:clientData/>
  </xdr:twoCellAnchor>
  <xdr:twoCellAnchor>
    <xdr:from>
      <xdr:col>2</xdr:col>
      <xdr:colOff>419101</xdr:colOff>
      <xdr:row>4</xdr:row>
      <xdr:rowOff>142875</xdr:rowOff>
    </xdr:from>
    <xdr:to>
      <xdr:col>5</xdr:col>
      <xdr:colOff>381001</xdr:colOff>
      <xdr:row>6</xdr:row>
      <xdr:rowOff>85725</xdr:rowOff>
    </xdr:to>
    <xdr:sp macro="" textlink="">
      <xdr:nvSpPr>
        <xdr:cNvPr id="7" name="TextBox 6">
          <a:extLst>
            <a:ext uri="{FF2B5EF4-FFF2-40B4-BE49-F238E27FC236}">
              <a16:creationId xmlns:a16="http://schemas.microsoft.com/office/drawing/2014/main" id="{5646E92F-45F6-C9C7-D1B4-AA11AC957E8F}"/>
            </a:ext>
          </a:extLst>
        </xdr:cNvPr>
        <xdr:cNvSpPr txBox="1"/>
      </xdr:nvSpPr>
      <xdr:spPr>
        <a:xfrm>
          <a:off x="1752601" y="942975"/>
          <a:ext cx="19621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rPr>
            <a:t>India's Last</a:t>
          </a:r>
          <a:r>
            <a:rPr lang="en-US" sz="1200" baseline="0">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rPr>
            <a:t> Minute App</a:t>
          </a:r>
          <a:endParaRPr lang="en-US" sz="1200">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566737</xdr:colOff>
      <xdr:row>1</xdr:row>
      <xdr:rowOff>180974</xdr:rowOff>
    </xdr:from>
    <xdr:to>
      <xdr:col>14</xdr:col>
      <xdr:colOff>169011</xdr:colOff>
      <xdr:row>13</xdr:row>
      <xdr:rowOff>14136</xdr:rowOff>
    </xdr:to>
    <xdr:grpSp>
      <xdr:nvGrpSpPr>
        <xdr:cNvPr id="30" name="Group 29">
          <a:extLst>
            <a:ext uri="{FF2B5EF4-FFF2-40B4-BE49-F238E27FC236}">
              <a16:creationId xmlns:a16="http://schemas.microsoft.com/office/drawing/2014/main" id="{9A791EAA-2402-4644-1362-A2E8E3C56F45}"/>
            </a:ext>
          </a:extLst>
        </xdr:cNvPr>
        <xdr:cNvGrpSpPr/>
      </xdr:nvGrpSpPr>
      <xdr:grpSpPr>
        <a:xfrm>
          <a:off x="3900487" y="380999"/>
          <a:ext cx="5603024" cy="2233462"/>
          <a:chOff x="3919537" y="371474"/>
          <a:chExt cx="5603024" cy="2233462"/>
        </a:xfrm>
      </xdr:grpSpPr>
      <xdr:sp macro="" textlink="">
        <xdr:nvSpPr>
          <xdr:cNvPr id="8" name="Rectangle: Rounded Corners 7">
            <a:extLst>
              <a:ext uri="{FF2B5EF4-FFF2-40B4-BE49-F238E27FC236}">
                <a16:creationId xmlns:a16="http://schemas.microsoft.com/office/drawing/2014/main" id="{F50FF91A-59B8-2025-CF96-DC514DDD20AB}"/>
              </a:ext>
            </a:extLst>
          </xdr:cNvPr>
          <xdr:cNvSpPr/>
        </xdr:nvSpPr>
        <xdr:spPr>
          <a:xfrm>
            <a:off x="3919537" y="371474"/>
            <a:ext cx="2736000" cy="1047600"/>
          </a:xfrm>
          <a:prstGeom prst="roundRect">
            <a:avLst>
              <a:gd name="adj" fmla="val 11212"/>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94B36AE2-B8D0-44E6-91DA-3B26C178F8A2}"/>
              </a:ext>
            </a:extLst>
          </xdr:cNvPr>
          <xdr:cNvSpPr/>
        </xdr:nvSpPr>
        <xdr:spPr>
          <a:xfrm>
            <a:off x="6786561" y="371474"/>
            <a:ext cx="2736000" cy="1047600"/>
          </a:xfrm>
          <a:prstGeom prst="roundRect">
            <a:avLst>
              <a:gd name="adj" fmla="val 9393"/>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E8903C05-36CF-447F-A945-EE4DE6107F0D}"/>
              </a:ext>
            </a:extLst>
          </xdr:cNvPr>
          <xdr:cNvSpPr/>
        </xdr:nvSpPr>
        <xdr:spPr>
          <a:xfrm>
            <a:off x="6786561" y="1557336"/>
            <a:ext cx="2736000" cy="1047600"/>
          </a:xfrm>
          <a:prstGeom prst="roundRect">
            <a:avLst>
              <a:gd name="adj" fmla="val 9393"/>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D6757434-998B-4A19-9190-4F4650EB638B}"/>
              </a:ext>
            </a:extLst>
          </xdr:cNvPr>
          <xdr:cNvSpPr/>
        </xdr:nvSpPr>
        <xdr:spPr>
          <a:xfrm>
            <a:off x="3919537" y="1557336"/>
            <a:ext cx="2736000" cy="1047600"/>
          </a:xfrm>
          <a:prstGeom prst="roundRect">
            <a:avLst>
              <a:gd name="adj" fmla="val 9393"/>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28576</xdr:colOff>
      <xdr:row>2</xdr:row>
      <xdr:rowOff>85724</xdr:rowOff>
    </xdr:from>
    <xdr:to>
      <xdr:col>8</xdr:col>
      <xdr:colOff>0</xdr:colOff>
      <xdr:row>5</xdr:row>
      <xdr:rowOff>28574</xdr:rowOff>
    </xdr:to>
    <xdr:sp macro="" textlink="'Sheet Desgin'!A10">
      <xdr:nvSpPr>
        <xdr:cNvPr id="17" name="TextBox 16">
          <a:extLst>
            <a:ext uri="{FF2B5EF4-FFF2-40B4-BE49-F238E27FC236}">
              <a16:creationId xmlns:a16="http://schemas.microsoft.com/office/drawing/2014/main" id="{5AEAFF22-7CA0-376D-F2DF-9DB936D518A9}"/>
            </a:ext>
          </a:extLst>
        </xdr:cNvPr>
        <xdr:cNvSpPr txBox="1"/>
      </xdr:nvSpPr>
      <xdr:spPr>
        <a:xfrm>
          <a:off x="4029076" y="485774"/>
          <a:ext cx="130492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97B228-65AB-4DD2-B388-92D679B60E71}"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algn="ctr"/>
            <a:t>$1.20M</a:t>
          </a:fld>
          <a:endParaRPr lang="en-US" sz="2400">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editAs="oneCell">
    <xdr:from>
      <xdr:col>2</xdr:col>
      <xdr:colOff>323849</xdr:colOff>
      <xdr:row>9</xdr:row>
      <xdr:rowOff>57149</xdr:rowOff>
    </xdr:from>
    <xdr:to>
      <xdr:col>5</xdr:col>
      <xdr:colOff>152399</xdr:colOff>
      <xdr:row>16</xdr:row>
      <xdr:rowOff>1480</xdr:rowOff>
    </xdr:to>
    <mc:AlternateContent xmlns:mc="http://schemas.openxmlformats.org/markup-compatibility/2006">
      <mc:Choice xmlns:a14="http://schemas.microsoft.com/office/drawing/2010/main" Requires="a14">
        <xdr:graphicFrame macro="">
          <xdr:nvGraphicFramePr>
            <xdr:cNvPr id="18" name="Outlet Size 1">
              <a:extLst>
                <a:ext uri="{FF2B5EF4-FFF2-40B4-BE49-F238E27FC236}">
                  <a16:creationId xmlns:a16="http://schemas.microsoft.com/office/drawing/2014/main" id="{09ADB7FB-269D-47E4-A023-B667CE6D089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657349" y="1857374"/>
              <a:ext cx="1828800" cy="1344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180975</xdr:colOff>
      <xdr:row>4</xdr:row>
      <xdr:rowOff>142875</xdr:rowOff>
    </xdr:from>
    <xdr:to>
      <xdr:col>8</xdr:col>
      <xdr:colOff>57150</xdr:colOff>
      <xdr:row>5</xdr:row>
      <xdr:rowOff>180975</xdr:rowOff>
    </xdr:to>
    <xdr:sp macro="" textlink="">
      <xdr:nvSpPr>
        <xdr:cNvPr id="20" name="TextBox 19">
          <a:extLst>
            <a:ext uri="{FF2B5EF4-FFF2-40B4-BE49-F238E27FC236}">
              <a16:creationId xmlns:a16="http://schemas.microsoft.com/office/drawing/2014/main" id="{6BDD4D1B-9676-4CC3-BF9A-2BB9BFE707B6}"/>
            </a:ext>
          </a:extLst>
        </xdr:cNvPr>
        <xdr:cNvSpPr txBox="1"/>
      </xdr:nvSpPr>
      <xdr:spPr>
        <a:xfrm>
          <a:off x="4181475" y="942975"/>
          <a:ext cx="12096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10</xdr:col>
      <xdr:colOff>295276</xdr:colOff>
      <xdr:row>2</xdr:row>
      <xdr:rowOff>95249</xdr:rowOff>
    </xdr:from>
    <xdr:to>
      <xdr:col>12</xdr:col>
      <xdr:colOff>266700</xdr:colOff>
      <xdr:row>5</xdr:row>
      <xdr:rowOff>38099</xdr:rowOff>
    </xdr:to>
    <xdr:sp macro="" textlink="'Sheet Desgin'!$B$10">
      <xdr:nvSpPr>
        <xdr:cNvPr id="21" name="TextBox 20">
          <a:extLst>
            <a:ext uri="{FF2B5EF4-FFF2-40B4-BE49-F238E27FC236}">
              <a16:creationId xmlns:a16="http://schemas.microsoft.com/office/drawing/2014/main" id="{8EE5F45E-C68B-45DD-A4B8-F5CF0C227AEC}"/>
            </a:ext>
          </a:extLst>
        </xdr:cNvPr>
        <xdr:cNvSpPr txBox="1"/>
      </xdr:nvSpPr>
      <xdr:spPr>
        <a:xfrm>
          <a:off x="6962776" y="495299"/>
          <a:ext cx="130492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F6BB36-0C41-47B2-AF97-4FF8834DAB82}"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5</xdr:col>
      <xdr:colOff>666749</xdr:colOff>
      <xdr:row>8</xdr:row>
      <xdr:rowOff>28574</xdr:rowOff>
    </xdr:from>
    <xdr:to>
      <xdr:col>7</xdr:col>
      <xdr:colOff>638173</xdr:colOff>
      <xdr:row>10</xdr:row>
      <xdr:rowOff>171449</xdr:rowOff>
    </xdr:to>
    <xdr:sp macro="" textlink="'Sheet Desgin'!$C$10">
      <xdr:nvSpPr>
        <xdr:cNvPr id="25" name="TextBox 24">
          <a:extLst>
            <a:ext uri="{FF2B5EF4-FFF2-40B4-BE49-F238E27FC236}">
              <a16:creationId xmlns:a16="http://schemas.microsoft.com/office/drawing/2014/main" id="{8CBE35D3-8071-4D07-8269-8BEBFA0E9547}"/>
            </a:ext>
          </a:extLst>
        </xdr:cNvPr>
        <xdr:cNvSpPr txBox="1"/>
      </xdr:nvSpPr>
      <xdr:spPr>
        <a:xfrm>
          <a:off x="4000499" y="1628774"/>
          <a:ext cx="130492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A6497C-8136-4B3E-80BA-0E4352660951}"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10</xdr:col>
      <xdr:colOff>285749</xdr:colOff>
      <xdr:row>8</xdr:row>
      <xdr:rowOff>38099</xdr:rowOff>
    </xdr:from>
    <xdr:to>
      <xdr:col>12</xdr:col>
      <xdr:colOff>257173</xdr:colOff>
      <xdr:row>10</xdr:row>
      <xdr:rowOff>180974</xdr:rowOff>
    </xdr:to>
    <xdr:sp macro="" textlink="'Sheet Desgin'!$D$10">
      <xdr:nvSpPr>
        <xdr:cNvPr id="26" name="TextBox 25">
          <a:extLst>
            <a:ext uri="{FF2B5EF4-FFF2-40B4-BE49-F238E27FC236}">
              <a16:creationId xmlns:a16="http://schemas.microsoft.com/office/drawing/2014/main" id="{672D68C6-5C74-413A-AD57-51F3A3B4243C}"/>
            </a:ext>
          </a:extLst>
        </xdr:cNvPr>
        <xdr:cNvSpPr txBox="1"/>
      </xdr:nvSpPr>
      <xdr:spPr>
        <a:xfrm>
          <a:off x="6953249" y="1638299"/>
          <a:ext cx="130492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D700F9-51BD-4398-BEC8-8F1D86098140}"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6</xdr:col>
      <xdr:colOff>219075</xdr:colOff>
      <xdr:row>10</xdr:row>
      <xdr:rowOff>57151</xdr:rowOff>
    </xdr:from>
    <xdr:to>
      <xdr:col>8</xdr:col>
      <xdr:colOff>38101</xdr:colOff>
      <xdr:row>11</xdr:row>
      <xdr:rowOff>114300</xdr:rowOff>
    </xdr:to>
    <xdr:sp macro="" textlink="">
      <xdr:nvSpPr>
        <xdr:cNvPr id="27" name="TextBox 26">
          <a:extLst>
            <a:ext uri="{FF2B5EF4-FFF2-40B4-BE49-F238E27FC236}">
              <a16:creationId xmlns:a16="http://schemas.microsoft.com/office/drawing/2014/main" id="{1233897A-3023-CFE1-578A-E2F961E9ADDA}"/>
            </a:ext>
          </a:extLst>
        </xdr:cNvPr>
        <xdr:cNvSpPr txBox="1"/>
      </xdr:nvSpPr>
      <xdr:spPr>
        <a:xfrm>
          <a:off x="4219575" y="2057401"/>
          <a:ext cx="1152526"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NO</a:t>
          </a:r>
          <a:r>
            <a:rPr lang="en-US" sz="1200" baseline="0">
              <a:latin typeface="Segoe UI Semibold" panose="020B0702040204020203" pitchFamily="34" charset="0"/>
              <a:cs typeface="Segoe UI Semibold" panose="020B0702040204020203" pitchFamily="34" charset="0"/>
            </a:rPr>
            <a:t> OF ITEMS</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371475</xdr:colOff>
      <xdr:row>10</xdr:row>
      <xdr:rowOff>57150</xdr:rowOff>
    </xdr:from>
    <xdr:to>
      <xdr:col>12</xdr:col>
      <xdr:colOff>142875</xdr:colOff>
      <xdr:row>11</xdr:row>
      <xdr:rowOff>66675</xdr:rowOff>
    </xdr:to>
    <xdr:sp macro="" textlink="">
      <xdr:nvSpPr>
        <xdr:cNvPr id="28" name="TextBox 27">
          <a:extLst>
            <a:ext uri="{FF2B5EF4-FFF2-40B4-BE49-F238E27FC236}">
              <a16:creationId xmlns:a16="http://schemas.microsoft.com/office/drawing/2014/main" id="{E69FF013-6B21-4DCE-A792-65761258B7E7}"/>
            </a:ext>
          </a:extLst>
        </xdr:cNvPr>
        <xdr:cNvSpPr txBox="1"/>
      </xdr:nvSpPr>
      <xdr:spPr>
        <a:xfrm>
          <a:off x="7038975" y="2057400"/>
          <a:ext cx="1104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AVG RATING</a:t>
          </a:r>
        </a:p>
      </xdr:txBody>
    </xdr:sp>
    <xdr:clientData/>
  </xdr:twoCellAnchor>
  <xdr:twoCellAnchor>
    <xdr:from>
      <xdr:col>10</xdr:col>
      <xdr:colOff>542924</xdr:colOff>
      <xdr:row>4</xdr:row>
      <xdr:rowOff>142875</xdr:rowOff>
    </xdr:from>
    <xdr:to>
      <xdr:col>12</xdr:col>
      <xdr:colOff>304799</xdr:colOff>
      <xdr:row>6</xdr:row>
      <xdr:rowOff>9525</xdr:rowOff>
    </xdr:to>
    <xdr:sp macro="" textlink="">
      <xdr:nvSpPr>
        <xdr:cNvPr id="29" name="TextBox 28">
          <a:extLst>
            <a:ext uri="{FF2B5EF4-FFF2-40B4-BE49-F238E27FC236}">
              <a16:creationId xmlns:a16="http://schemas.microsoft.com/office/drawing/2014/main" id="{68C3C1F9-5874-44CC-A674-1128779D076B}"/>
            </a:ext>
          </a:extLst>
        </xdr:cNvPr>
        <xdr:cNvSpPr txBox="1"/>
      </xdr:nvSpPr>
      <xdr:spPr>
        <a:xfrm>
          <a:off x="7210424" y="942975"/>
          <a:ext cx="1095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AVG SALES</a:t>
          </a:r>
        </a:p>
      </xdr:txBody>
    </xdr:sp>
    <xdr:clientData/>
  </xdr:twoCellAnchor>
  <xdr:twoCellAnchor>
    <xdr:from>
      <xdr:col>5</xdr:col>
      <xdr:colOff>590550</xdr:colOff>
      <xdr:row>13</xdr:row>
      <xdr:rowOff>161924</xdr:rowOff>
    </xdr:from>
    <xdr:to>
      <xdr:col>14</xdr:col>
      <xdr:colOff>209550</xdr:colOff>
      <xdr:row>38</xdr:row>
      <xdr:rowOff>200024</xdr:rowOff>
    </xdr:to>
    <xdr:sp macro="" textlink="">
      <xdr:nvSpPr>
        <xdr:cNvPr id="31" name="Rectangle: Rounded Corners 30">
          <a:extLst>
            <a:ext uri="{FF2B5EF4-FFF2-40B4-BE49-F238E27FC236}">
              <a16:creationId xmlns:a16="http://schemas.microsoft.com/office/drawing/2014/main" id="{6450FCA4-C711-45E4-AAE1-9AF39FBBED5F}"/>
            </a:ext>
          </a:extLst>
        </xdr:cNvPr>
        <xdr:cNvSpPr/>
      </xdr:nvSpPr>
      <xdr:spPr>
        <a:xfrm>
          <a:off x="3924300" y="2762249"/>
          <a:ext cx="5619750" cy="5038725"/>
        </a:xfrm>
        <a:prstGeom prst="roundRect">
          <a:avLst>
            <a:gd name="adj" fmla="val 4667"/>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247650</xdr:colOff>
      <xdr:row>15</xdr:row>
      <xdr:rowOff>152399</xdr:rowOff>
    </xdr:from>
    <xdr:to>
      <xdr:col>9</xdr:col>
      <xdr:colOff>551400</xdr:colOff>
      <xdr:row>25</xdr:row>
      <xdr:rowOff>121349</xdr:rowOff>
    </xdr:to>
    <xdr:graphicFrame macro="">
      <xdr:nvGraphicFramePr>
        <xdr:cNvPr id="32" name="Chart 31">
          <a:extLst>
            <a:ext uri="{FF2B5EF4-FFF2-40B4-BE49-F238E27FC236}">
              <a16:creationId xmlns:a16="http://schemas.microsoft.com/office/drawing/2014/main" id="{39B7A6F3-B505-4454-AA31-65CE50F07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190500</xdr:colOff>
      <xdr:row>14</xdr:row>
      <xdr:rowOff>57151</xdr:rowOff>
    </xdr:from>
    <xdr:to>
      <xdr:col>8</xdr:col>
      <xdr:colOff>114300</xdr:colOff>
      <xdr:row>15</xdr:row>
      <xdr:rowOff>95250</xdr:rowOff>
    </xdr:to>
    <xdr:sp macro="" textlink="">
      <xdr:nvSpPr>
        <xdr:cNvPr id="33" name="TextBox 32">
          <a:extLst>
            <a:ext uri="{FF2B5EF4-FFF2-40B4-BE49-F238E27FC236}">
              <a16:creationId xmlns:a16="http://schemas.microsoft.com/office/drawing/2014/main" id="{BD7E75F6-2AC8-46F4-BC69-280AA3E1EB90}"/>
            </a:ext>
          </a:extLst>
        </xdr:cNvPr>
        <xdr:cNvSpPr txBox="1"/>
      </xdr:nvSpPr>
      <xdr:spPr>
        <a:xfrm>
          <a:off x="4191000" y="2857501"/>
          <a:ext cx="12573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CONTENT</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76200</xdr:colOff>
      <xdr:row>14</xdr:row>
      <xdr:rowOff>152400</xdr:rowOff>
    </xdr:from>
    <xdr:to>
      <xdr:col>10</xdr:col>
      <xdr:colOff>95250</xdr:colOff>
      <xdr:row>38</xdr:row>
      <xdr:rowOff>76200</xdr:rowOff>
    </xdr:to>
    <xdr:cxnSp macro="">
      <xdr:nvCxnSpPr>
        <xdr:cNvPr id="35" name="Straight Connector 34">
          <a:extLst>
            <a:ext uri="{FF2B5EF4-FFF2-40B4-BE49-F238E27FC236}">
              <a16:creationId xmlns:a16="http://schemas.microsoft.com/office/drawing/2014/main" id="{4747DBA5-C2F4-54FB-CACA-C4D903131907}"/>
            </a:ext>
          </a:extLst>
        </xdr:cNvPr>
        <xdr:cNvCxnSpPr/>
      </xdr:nvCxnSpPr>
      <xdr:spPr>
        <a:xfrm>
          <a:off x="6743700" y="2952750"/>
          <a:ext cx="19050" cy="4724400"/>
        </a:xfrm>
        <a:prstGeom prst="line">
          <a:avLst/>
        </a:prstGeom>
        <a:ln w="1587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647700</xdr:colOff>
      <xdr:row>26</xdr:row>
      <xdr:rowOff>76200</xdr:rowOff>
    </xdr:from>
    <xdr:to>
      <xdr:col>10</xdr:col>
      <xdr:colOff>19050</xdr:colOff>
      <xdr:row>26</xdr:row>
      <xdr:rowOff>80962</xdr:rowOff>
    </xdr:to>
    <xdr:cxnSp macro="">
      <xdr:nvCxnSpPr>
        <xdr:cNvPr id="41" name="Straight Connector 40">
          <a:extLst>
            <a:ext uri="{FF2B5EF4-FFF2-40B4-BE49-F238E27FC236}">
              <a16:creationId xmlns:a16="http://schemas.microsoft.com/office/drawing/2014/main" id="{706A2B80-66B6-064A-C499-D39FD0CAC7F0}"/>
            </a:ext>
          </a:extLst>
        </xdr:cNvPr>
        <xdr:cNvCxnSpPr/>
      </xdr:nvCxnSpPr>
      <xdr:spPr>
        <a:xfrm flipV="1">
          <a:off x="3981450" y="5276850"/>
          <a:ext cx="2705100" cy="4762"/>
        </a:xfrm>
        <a:prstGeom prst="line">
          <a:avLst/>
        </a:prstGeom>
        <a:ln w="1587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247649</xdr:colOff>
      <xdr:row>27</xdr:row>
      <xdr:rowOff>200024</xdr:rowOff>
    </xdr:from>
    <xdr:to>
      <xdr:col>10</xdr:col>
      <xdr:colOff>9525</xdr:colOff>
      <xdr:row>38</xdr:row>
      <xdr:rowOff>28574</xdr:rowOff>
    </xdr:to>
    <xdr:graphicFrame macro="">
      <xdr:nvGraphicFramePr>
        <xdr:cNvPr id="44" name="Chart 43">
          <a:extLst>
            <a:ext uri="{FF2B5EF4-FFF2-40B4-BE49-F238E27FC236}">
              <a16:creationId xmlns:a16="http://schemas.microsoft.com/office/drawing/2014/main" id="{B7C9BFF5-9CE3-47C0-A508-9E9BD9C8F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85725</xdr:colOff>
      <xdr:row>26</xdr:row>
      <xdr:rowOff>123826</xdr:rowOff>
    </xdr:from>
    <xdr:to>
      <xdr:col>8</xdr:col>
      <xdr:colOff>9525</xdr:colOff>
      <xdr:row>27</xdr:row>
      <xdr:rowOff>161925</xdr:rowOff>
    </xdr:to>
    <xdr:sp macro="" textlink="">
      <xdr:nvSpPr>
        <xdr:cNvPr id="46" name="TextBox 45">
          <a:extLst>
            <a:ext uri="{FF2B5EF4-FFF2-40B4-BE49-F238E27FC236}">
              <a16:creationId xmlns:a16="http://schemas.microsoft.com/office/drawing/2014/main" id="{43FC1BD8-9B1F-4A5C-86A5-1523FD64BDA3}"/>
            </a:ext>
          </a:extLst>
        </xdr:cNvPr>
        <xdr:cNvSpPr txBox="1"/>
      </xdr:nvSpPr>
      <xdr:spPr>
        <a:xfrm>
          <a:off x="4086225" y="5324476"/>
          <a:ext cx="12573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BY OUTLET</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142875</xdr:colOff>
      <xdr:row>14</xdr:row>
      <xdr:rowOff>19051</xdr:rowOff>
    </xdr:from>
    <xdr:to>
      <xdr:col>12</xdr:col>
      <xdr:colOff>66675</xdr:colOff>
      <xdr:row>15</xdr:row>
      <xdr:rowOff>57150</xdr:rowOff>
    </xdr:to>
    <xdr:sp macro="" textlink="">
      <xdr:nvSpPr>
        <xdr:cNvPr id="47" name="TextBox 46">
          <a:extLst>
            <a:ext uri="{FF2B5EF4-FFF2-40B4-BE49-F238E27FC236}">
              <a16:creationId xmlns:a16="http://schemas.microsoft.com/office/drawing/2014/main" id="{52ACFD96-1362-481B-867F-C1516D98BDDE}"/>
            </a:ext>
          </a:extLst>
        </xdr:cNvPr>
        <xdr:cNvSpPr txBox="1"/>
      </xdr:nvSpPr>
      <xdr:spPr>
        <a:xfrm>
          <a:off x="6810375" y="2819401"/>
          <a:ext cx="12573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ITEM</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142875</xdr:colOff>
      <xdr:row>15</xdr:row>
      <xdr:rowOff>152400</xdr:rowOff>
    </xdr:from>
    <xdr:to>
      <xdr:col>14</xdr:col>
      <xdr:colOff>114301</xdr:colOff>
      <xdr:row>38</xdr:row>
      <xdr:rowOff>66675</xdr:rowOff>
    </xdr:to>
    <xdr:graphicFrame macro="">
      <xdr:nvGraphicFramePr>
        <xdr:cNvPr id="48" name="Chart 47">
          <a:extLst>
            <a:ext uri="{FF2B5EF4-FFF2-40B4-BE49-F238E27FC236}">
              <a16:creationId xmlns:a16="http://schemas.microsoft.com/office/drawing/2014/main" id="{FC3AF05A-F653-4781-8077-72823AEAB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419099</xdr:colOff>
      <xdr:row>1</xdr:row>
      <xdr:rowOff>190499</xdr:rowOff>
    </xdr:from>
    <xdr:to>
      <xdr:col>23</xdr:col>
      <xdr:colOff>619124</xdr:colOff>
      <xdr:row>39</xdr:row>
      <xdr:rowOff>19050</xdr:rowOff>
    </xdr:to>
    <xdr:sp macro="" textlink="">
      <xdr:nvSpPr>
        <xdr:cNvPr id="5" name="Rectangle: Rounded Corners 4">
          <a:extLst>
            <a:ext uri="{FF2B5EF4-FFF2-40B4-BE49-F238E27FC236}">
              <a16:creationId xmlns:a16="http://schemas.microsoft.com/office/drawing/2014/main" id="{604E0CE3-67B7-4E60-91F3-DCAD7F303227}"/>
            </a:ext>
          </a:extLst>
        </xdr:cNvPr>
        <xdr:cNvSpPr/>
      </xdr:nvSpPr>
      <xdr:spPr>
        <a:xfrm>
          <a:off x="9753599" y="390524"/>
          <a:ext cx="6200775" cy="7429501"/>
        </a:xfrm>
        <a:prstGeom prst="roundRect">
          <a:avLst>
            <a:gd name="adj" fmla="val 2977"/>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533400</xdr:colOff>
      <xdr:row>3</xdr:row>
      <xdr:rowOff>142874</xdr:rowOff>
    </xdr:from>
    <xdr:to>
      <xdr:col>23</xdr:col>
      <xdr:colOff>447675</xdr:colOff>
      <xdr:row>12</xdr:row>
      <xdr:rowOff>190500</xdr:rowOff>
    </xdr:to>
    <xdr:graphicFrame macro="">
      <xdr:nvGraphicFramePr>
        <xdr:cNvPr id="6" name="Chart 5">
          <a:extLst>
            <a:ext uri="{FF2B5EF4-FFF2-40B4-BE49-F238E27FC236}">
              <a16:creationId xmlns:a16="http://schemas.microsoft.com/office/drawing/2014/main" id="{FBF98B2D-CAA8-4064-954F-70F366206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504825</xdr:colOff>
      <xdr:row>2</xdr:row>
      <xdr:rowOff>38101</xdr:rowOff>
    </xdr:from>
    <xdr:to>
      <xdr:col>17</xdr:col>
      <xdr:colOff>542925</xdr:colOff>
      <xdr:row>3</xdr:row>
      <xdr:rowOff>114300</xdr:rowOff>
    </xdr:to>
    <xdr:sp macro="" textlink="">
      <xdr:nvSpPr>
        <xdr:cNvPr id="9" name="TextBox 8">
          <a:extLst>
            <a:ext uri="{FF2B5EF4-FFF2-40B4-BE49-F238E27FC236}">
              <a16:creationId xmlns:a16="http://schemas.microsoft.com/office/drawing/2014/main" id="{51333516-CB7D-48E2-A627-66556A14AF30}"/>
            </a:ext>
          </a:extLst>
        </xdr:cNvPr>
        <xdr:cNvSpPr txBox="1"/>
      </xdr:nvSpPr>
      <xdr:spPr>
        <a:xfrm>
          <a:off x="9839325" y="438151"/>
          <a:ext cx="2038350"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ESTABLISHMENT</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466725</xdr:colOff>
      <xdr:row>13</xdr:row>
      <xdr:rowOff>171450</xdr:rowOff>
    </xdr:from>
    <xdr:to>
      <xdr:col>23</xdr:col>
      <xdr:colOff>542925</xdr:colOff>
      <xdr:row>13</xdr:row>
      <xdr:rowOff>185737</xdr:rowOff>
    </xdr:to>
    <xdr:cxnSp macro="">
      <xdr:nvCxnSpPr>
        <xdr:cNvPr id="10" name="Straight Connector 9">
          <a:extLst>
            <a:ext uri="{FF2B5EF4-FFF2-40B4-BE49-F238E27FC236}">
              <a16:creationId xmlns:a16="http://schemas.microsoft.com/office/drawing/2014/main" id="{2D8DA846-8954-4101-8AE2-376DF709A89A}"/>
            </a:ext>
          </a:extLst>
        </xdr:cNvPr>
        <xdr:cNvCxnSpPr/>
      </xdr:nvCxnSpPr>
      <xdr:spPr>
        <a:xfrm flipV="1">
          <a:off x="9801225" y="2771775"/>
          <a:ext cx="6076950" cy="14287"/>
        </a:xfrm>
        <a:prstGeom prst="line">
          <a:avLst/>
        </a:prstGeom>
        <a:ln w="1587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438150</xdr:colOff>
      <xdr:row>14</xdr:row>
      <xdr:rowOff>47625</xdr:rowOff>
    </xdr:from>
    <xdr:to>
      <xdr:col>16</xdr:col>
      <xdr:colOff>209550</xdr:colOff>
      <xdr:row>15</xdr:row>
      <xdr:rowOff>142875</xdr:rowOff>
    </xdr:to>
    <xdr:sp macro="" textlink="">
      <xdr:nvSpPr>
        <xdr:cNvPr id="15" name="TextBox 14">
          <a:extLst>
            <a:ext uri="{FF2B5EF4-FFF2-40B4-BE49-F238E27FC236}">
              <a16:creationId xmlns:a16="http://schemas.microsoft.com/office/drawing/2014/main" id="{55B50692-9464-43BC-991D-4D4FEA79E8E4}"/>
            </a:ext>
          </a:extLst>
        </xdr:cNvPr>
        <xdr:cNvSpPr txBox="1"/>
      </xdr:nvSpPr>
      <xdr:spPr>
        <a:xfrm>
          <a:off x="9772650" y="2847975"/>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514350</xdr:colOff>
      <xdr:row>15</xdr:row>
      <xdr:rowOff>142874</xdr:rowOff>
    </xdr:from>
    <xdr:to>
      <xdr:col>18</xdr:col>
      <xdr:colOff>601350</xdr:colOff>
      <xdr:row>26</xdr:row>
      <xdr:rowOff>192599</xdr:rowOff>
    </xdr:to>
    <xdr:graphicFrame macro="">
      <xdr:nvGraphicFramePr>
        <xdr:cNvPr id="16" name="Chart 15">
          <a:extLst>
            <a:ext uri="{FF2B5EF4-FFF2-40B4-BE49-F238E27FC236}">
              <a16:creationId xmlns:a16="http://schemas.microsoft.com/office/drawing/2014/main" id="{BFDA0E79-19E0-4B22-8409-6FE71562B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495300</xdr:colOff>
      <xdr:row>26</xdr:row>
      <xdr:rowOff>104775</xdr:rowOff>
    </xdr:from>
    <xdr:to>
      <xdr:col>23</xdr:col>
      <xdr:colOff>571500</xdr:colOff>
      <xdr:row>26</xdr:row>
      <xdr:rowOff>119062</xdr:rowOff>
    </xdr:to>
    <xdr:cxnSp macro="">
      <xdr:nvCxnSpPr>
        <xdr:cNvPr id="19" name="Straight Connector 18">
          <a:extLst>
            <a:ext uri="{FF2B5EF4-FFF2-40B4-BE49-F238E27FC236}">
              <a16:creationId xmlns:a16="http://schemas.microsoft.com/office/drawing/2014/main" id="{98BE7BE8-C34F-41CD-88AE-A971C48307EE}"/>
            </a:ext>
          </a:extLst>
        </xdr:cNvPr>
        <xdr:cNvCxnSpPr/>
      </xdr:nvCxnSpPr>
      <xdr:spPr>
        <a:xfrm flipV="1">
          <a:off x="9829800" y="5305425"/>
          <a:ext cx="6076950" cy="14287"/>
        </a:xfrm>
        <a:prstGeom prst="line">
          <a:avLst/>
        </a:prstGeom>
        <a:ln w="1587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628650</xdr:colOff>
      <xdr:row>14</xdr:row>
      <xdr:rowOff>76200</xdr:rowOff>
    </xdr:from>
    <xdr:to>
      <xdr:col>18</xdr:col>
      <xdr:colOff>628650</xdr:colOff>
      <xdr:row>26</xdr:row>
      <xdr:rowOff>0</xdr:rowOff>
    </xdr:to>
    <xdr:cxnSp macro="">
      <xdr:nvCxnSpPr>
        <xdr:cNvPr id="22" name="Straight Connector 21">
          <a:extLst>
            <a:ext uri="{FF2B5EF4-FFF2-40B4-BE49-F238E27FC236}">
              <a16:creationId xmlns:a16="http://schemas.microsoft.com/office/drawing/2014/main" id="{D9F67AD3-3173-436A-856B-A9ECA03C28F1}"/>
            </a:ext>
          </a:extLst>
        </xdr:cNvPr>
        <xdr:cNvCxnSpPr/>
      </xdr:nvCxnSpPr>
      <xdr:spPr>
        <a:xfrm>
          <a:off x="12630150" y="2876550"/>
          <a:ext cx="0" cy="2324100"/>
        </a:xfrm>
        <a:prstGeom prst="line">
          <a:avLst/>
        </a:prstGeom>
        <a:ln w="1587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657226</xdr:colOff>
      <xdr:row>15</xdr:row>
      <xdr:rowOff>133350</xdr:rowOff>
    </xdr:from>
    <xdr:to>
      <xdr:col>23</xdr:col>
      <xdr:colOff>495300</xdr:colOff>
      <xdr:row>26</xdr:row>
      <xdr:rowOff>57149</xdr:rowOff>
    </xdr:to>
    <mc:AlternateContent xmlns:mc="http://schemas.openxmlformats.org/markup-compatibility/2006">
      <mc:Choice xmlns:cx2="http://schemas.microsoft.com/office/drawing/2015/10/21/chartex" Requires="cx2">
        <xdr:graphicFrame macro="">
          <xdr:nvGraphicFramePr>
            <xdr:cNvPr id="34" name="Chart 33">
              <a:extLst>
                <a:ext uri="{FF2B5EF4-FFF2-40B4-BE49-F238E27FC236}">
                  <a16:creationId xmlns:a16="http://schemas.microsoft.com/office/drawing/2014/main" id="{E9E1A33B-1575-4B25-9B75-CE923683C6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658726" y="3133725"/>
              <a:ext cx="3171824" cy="21240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638175</xdr:colOff>
      <xdr:row>14</xdr:row>
      <xdr:rowOff>19050</xdr:rowOff>
    </xdr:from>
    <xdr:to>
      <xdr:col>21</xdr:col>
      <xdr:colOff>276225</xdr:colOff>
      <xdr:row>15</xdr:row>
      <xdr:rowOff>95250</xdr:rowOff>
    </xdr:to>
    <xdr:sp macro="" textlink="">
      <xdr:nvSpPr>
        <xdr:cNvPr id="36" name="TextBox 35">
          <a:extLst>
            <a:ext uri="{FF2B5EF4-FFF2-40B4-BE49-F238E27FC236}">
              <a16:creationId xmlns:a16="http://schemas.microsoft.com/office/drawing/2014/main" id="{028A46E3-DD8E-4D2F-9F1F-4DE870C64750}"/>
            </a:ext>
          </a:extLst>
        </xdr:cNvPr>
        <xdr:cNvSpPr txBox="1"/>
      </xdr:nvSpPr>
      <xdr:spPr>
        <a:xfrm>
          <a:off x="12639675" y="2819400"/>
          <a:ext cx="1638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485775</xdr:colOff>
      <xdr:row>28</xdr:row>
      <xdr:rowOff>47625</xdr:rowOff>
    </xdr:from>
    <xdr:to>
      <xdr:col>18</xdr:col>
      <xdr:colOff>85725</xdr:colOff>
      <xdr:row>38</xdr:row>
      <xdr:rowOff>114300</xdr:rowOff>
    </xdr:to>
    <xdr:graphicFrame macro="">
      <xdr:nvGraphicFramePr>
        <xdr:cNvPr id="38" name="Chart 37">
          <a:extLst>
            <a:ext uri="{FF2B5EF4-FFF2-40B4-BE49-F238E27FC236}">
              <a16:creationId xmlns:a16="http://schemas.microsoft.com/office/drawing/2014/main" id="{A0635812-4848-40AD-97E3-B9964AA21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419099</xdr:colOff>
      <xdr:row>26</xdr:row>
      <xdr:rowOff>171451</xdr:rowOff>
    </xdr:from>
    <xdr:to>
      <xdr:col>16</xdr:col>
      <xdr:colOff>314324</xdr:colOff>
      <xdr:row>28</xdr:row>
      <xdr:rowOff>38101</xdr:rowOff>
    </xdr:to>
    <xdr:sp macro="" textlink="">
      <xdr:nvSpPr>
        <xdr:cNvPr id="39" name="TextBox 38">
          <a:extLst>
            <a:ext uri="{FF2B5EF4-FFF2-40B4-BE49-F238E27FC236}">
              <a16:creationId xmlns:a16="http://schemas.microsoft.com/office/drawing/2014/main" id="{29A6CA96-2E11-4C55-8FC3-343D68C27331}"/>
            </a:ext>
          </a:extLst>
        </xdr:cNvPr>
        <xdr:cNvSpPr txBox="1"/>
      </xdr:nvSpPr>
      <xdr:spPr>
        <a:xfrm>
          <a:off x="9753599" y="5372101"/>
          <a:ext cx="1228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142876</xdr:colOff>
      <xdr:row>28</xdr:row>
      <xdr:rowOff>47625</xdr:rowOff>
    </xdr:from>
    <xdr:to>
      <xdr:col>20</xdr:col>
      <xdr:colOff>628650</xdr:colOff>
      <xdr:row>38</xdr:row>
      <xdr:rowOff>114299</xdr:rowOff>
    </xdr:to>
    <xdr:graphicFrame macro="">
      <xdr:nvGraphicFramePr>
        <xdr:cNvPr id="40" name="Chart 39">
          <a:extLst>
            <a:ext uri="{FF2B5EF4-FFF2-40B4-BE49-F238E27FC236}">
              <a16:creationId xmlns:a16="http://schemas.microsoft.com/office/drawing/2014/main" id="{B54DCFE5-024F-4528-9C86-ED000FBC1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28575</xdr:colOff>
      <xdr:row>28</xdr:row>
      <xdr:rowOff>47625</xdr:rowOff>
    </xdr:from>
    <xdr:to>
      <xdr:col>23</xdr:col>
      <xdr:colOff>495300</xdr:colOff>
      <xdr:row>38</xdr:row>
      <xdr:rowOff>114300</xdr:rowOff>
    </xdr:to>
    <xdr:graphicFrame macro="">
      <xdr:nvGraphicFramePr>
        <xdr:cNvPr id="42" name="Chart 41">
          <a:extLst>
            <a:ext uri="{FF2B5EF4-FFF2-40B4-BE49-F238E27FC236}">
              <a16:creationId xmlns:a16="http://schemas.microsoft.com/office/drawing/2014/main" id="{98191753-8CB2-4AB8-B1CE-1ACC09F75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47624</xdr:colOff>
      <xdr:row>37</xdr:row>
      <xdr:rowOff>66676</xdr:rowOff>
    </xdr:from>
    <xdr:to>
      <xdr:col>16</xdr:col>
      <xdr:colOff>609599</xdr:colOff>
      <xdr:row>38</xdr:row>
      <xdr:rowOff>133351</xdr:rowOff>
    </xdr:to>
    <xdr:sp macro="" textlink="">
      <xdr:nvSpPr>
        <xdr:cNvPr id="43" name="TextBox 42">
          <a:extLst>
            <a:ext uri="{FF2B5EF4-FFF2-40B4-BE49-F238E27FC236}">
              <a16:creationId xmlns:a16="http://schemas.microsoft.com/office/drawing/2014/main" id="{7A500442-3674-466C-9EB4-320C6CBF665C}"/>
            </a:ext>
          </a:extLst>
        </xdr:cNvPr>
        <xdr:cNvSpPr txBox="1"/>
      </xdr:nvSpPr>
      <xdr:spPr>
        <a:xfrm>
          <a:off x="10048874" y="7467601"/>
          <a:ext cx="1228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1"/>
              </a:solidFill>
              <a:latin typeface="Segoe UI Semibold" panose="020B0702040204020203" pitchFamily="34" charset="0"/>
              <a:cs typeface="Segoe UI Semibold" panose="020B0702040204020203" pitchFamily="34" charset="0"/>
            </a:rPr>
            <a:t>Total</a:t>
          </a:r>
          <a:r>
            <a:rPr lang="en-US" sz="1200" baseline="0">
              <a:solidFill>
                <a:schemeClr val="accent1"/>
              </a:solidFill>
              <a:latin typeface="Segoe UI Semibold" panose="020B0702040204020203" pitchFamily="34" charset="0"/>
              <a:cs typeface="Segoe UI Semibold" panose="020B0702040204020203" pitchFamily="34" charset="0"/>
            </a:rPr>
            <a:t> Sales</a:t>
          </a:r>
          <a:endParaRPr lang="en-US" sz="1200">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161924</xdr:colOff>
      <xdr:row>37</xdr:row>
      <xdr:rowOff>85726</xdr:rowOff>
    </xdr:from>
    <xdr:to>
      <xdr:col>20</xdr:col>
      <xdr:colOff>57149</xdr:colOff>
      <xdr:row>38</xdr:row>
      <xdr:rowOff>152401</xdr:rowOff>
    </xdr:to>
    <xdr:sp macro="" textlink="">
      <xdr:nvSpPr>
        <xdr:cNvPr id="45" name="TextBox 44">
          <a:extLst>
            <a:ext uri="{FF2B5EF4-FFF2-40B4-BE49-F238E27FC236}">
              <a16:creationId xmlns:a16="http://schemas.microsoft.com/office/drawing/2014/main" id="{222F124B-0BBC-40FE-8D1C-5537050ACE7E}"/>
            </a:ext>
          </a:extLst>
        </xdr:cNvPr>
        <xdr:cNvSpPr txBox="1"/>
      </xdr:nvSpPr>
      <xdr:spPr>
        <a:xfrm>
          <a:off x="12163424" y="7486651"/>
          <a:ext cx="1228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1"/>
              </a:solidFill>
              <a:latin typeface="Segoe UI Semibold" panose="020B0702040204020203" pitchFamily="34" charset="0"/>
              <a:cs typeface="Segoe UI Semibold" panose="020B0702040204020203" pitchFamily="34" charset="0"/>
            </a:rPr>
            <a:t>Avg</a:t>
          </a:r>
          <a:r>
            <a:rPr lang="en-US" sz="1200" baseline="0">
              <a:solidFill>
                <a:schemeClr val="accent1"/>
              </a:solidFill>
              <a:latin typeface="Segoe UI Semibold" panose="020B0702040204020203" pitchFamily="34" charset="0"/>
              <a:cs typeface="Segoe UI Semibold" panose="020B0702040204020203" pitchFamily="34" charset="0"/>
            </a:rPr>
            <a:t> Sales</a:t>
          </a:r>
          <a:endParaRPr lang="en-US" sz="1200">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28574</xdr:colOff>
      <xdr:row>37</xdr:row>
      <xdr:rowOff>85726</xdr:rowOff>
    </xdr:from>
    <xdr:to>
      <xdr:col>22</xdr:col>
      <xdr:colOff>590549</xdr:colOff>
      <xdr:row>38</xdr:row>
      <xdr:rowOff>152401</xdr:rowOff>
    </xdr:to>
    <xdr:sp macro="" textlink="">
      <xdr:nvSpPr>
        <xdr:cNvPr id="49" name="TextBox 48">
          <a:extLst>
            <a:ext uri="{FF2B5EF4-FFF2-40B4-BE49-F238E27FC236}">
              <a16:creationId xmlns:a16="http://schemas.microsoft.com/office/drawing/2014/main" id="{A908CE0C-500D-49E3-A0D2-3535DCEFBE1A}"/>
            </a:ext>
          </a:extLst>
        </xdr:cNvPr>
        <xdr:cNvSpPr txBox="1"/>
      </xdr:nvSpPr>
      <xdr:spPr>
        <a:xfrm>
          <a:off x="14030324" y="7486651"/>
          <a:ext cx="1228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1"/>
              </a:solidFill>
              <a:latin typeface="Segoe UI Semibold" panose="020B0702040204020203" pitchFamily="34" charset="0"/>
              <a:cs typeface="Segoe UI Semibold" panose="020B0702040204020203" pitchFamily="34" charset="0"/>
            </a:rPr>
            <a:t>No</a:t>
          </a:r>
          <a:r>
            <a:rPr lang="en-US" sz="1200" baseline="0">
              <a:solidFill>
                <a:schemeClr val="accent1"/>
              </a:solidFill>
              <a:latin typeface="Segoe UI Semibold" panose="020B0702040204020203" pitchFamily="34" charset="0"/>
              <a:cs typeface="Segoe UI Semibold" panose="020B0702040204020203" pitchFamily="34" charset="0"/>
            </a:rPr>
            <a:t> of Items</a:t>
          </a:r>
          <a:endParaRPr lang="en-US" sz="1200">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323850</xdr:colOff>
      <xdr:row>17</xdr:row>
      <xdr:rowOff>38100</xdr:rowOff>
    </xdr:from>
    <xdr:to>
      <xdr:col>5</xdr:col>
      <xdr:colOff>152400</xdr:colOff>
      <xdr:row>23</xdr:row>
      <xdr:rowOff>191558</xdr:rowOff>
    </xdr:to>
    <mc:AlternateContent xmlns:mc="http://schemas.openxmlformats.org/markup-compatibility/2006">
      <mc:Choice xmlns:a14="http://schemas.microsoft.com/office/drawing/2010/main" Requires="a14">
        <xdr:graphicFrame macro="">
          <xdr:nvGraphicFramePr>
            <xdr:cNvPr id="50" name="Outlet Location Type 1">
              <a:extLst>
                <a:ext uri="{FF2B5EF4-FFF2-40B4-BE49-F238E27FC236}">
                  <a16:creationId xmlns:a16="http://schemas.microsoft.com/office/drawing/2014/main" id="{D6FF0B69-1603-448C-BD0F-B0B0489698D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657350" y="3438525"/>
              <a:ext cx="1828800" cy="1363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333375</xdr:colOff>
      <xdr:row>24</xdr:row>
      <xdr:rowOff>152400</xdr:rowOff>
    </xdr:from>
    <xdr:to>
      <xdr:col>5</xdr:col>
      <xdr:colOff>161925</xdr:colOff>
      <xdr:row>38</xdr:row>
      <xdr:rowOff>47625</xdr:rowOff>
    </xdr:to>
    <mc:AlternateContent xmlns:mc="http://schemas.openxmlformats.org/markup-compatibility/2006">
      <mc:Choice xmlns:a14="http://schemas.microsoft.com/office/drawing/2010/main" Requires="a14">
        <xdr:graphicFrame macro="">
          <xdr:nvGraphicFramePr>
            <xdr:cNvPr id="51" name="Item Type 1">
              <a:extLst>
                <a:ext uri="{FF2B5EF4-FFF2-40B4-BE49-F238E27FC236}">
                  <a16:creationId xmlns:a16="http://schemas.microsoft.com/office/drawing/2014/main" id="{B0A5E0E7-9779-4C4A-9227-49E9A9AA97D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666875" y="497205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xdr:colOff>
      <xdr:row>6</xdr:row>
      <xdr:rowOff>142875</xdr:rowOff>
    </xdr:from>
    <xdr:to>
      <xdr:col>4</xdr:col>
      <xdr:colOff>552451</xdr:colOff>
      <xdr:row>8</xdr:row>
      <xdr:rowOff>85725</xdr:rowOff>
    </xdr:to>
    <xdr:sp macro="" textlink="">
      <xdr:nvSpPr>
        <xdr:cNvPr id="52" name="TextBox 51">
          <a:extLst>
            <a:ext uri="{FF2B5EF4-FFF2-40B4-BE49-F238E27FC236}">
              <a16:creationId xmlns:a16="http://schemas.microsoft.com/office/drawing/2014/main" id="{5BD75A7A-E6F1-F04C-3246-4AF1F97B8E38}"/>
            </a:ext>
          </a:extLst>
        </xdr:cNvPr>
        <xdr:cNvSpPr txBox="1"/>
      </xdr:nvSpPr>
      <xdr:spPr>
        <a:xfrm>
          <a:off x="2000251" y="1343025"/>
          <a:ext cx="1219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FILTER PANEL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HANT" refreshedDate="46009.607914004628" createdVersion="8" refreshedVersion="8" minRefreshableVersion="3" recordCount="8523" xr:uid="{F06D08B6-F15D-4F2C-BD74-38419BA747BE}">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66335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171DD4-5125-48F6-92F7-C25C4731AC8D}"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A126:B130" firstHeaderRow="1" firstDataRow="1" firstDataCol="1"/>
  <pivotFields count="12">
    <pivotField showAll="0">
      <items count="3">
        <item x="1"/>
        <item x="0"/>
        <item t="default"/>
      </items>
    </pivotField>
    <pivotField showAll="0"/>
    <pivotField dataField="1"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Type" fld="2" subtotal="count" baseField="0" baseItem="0" numFmtId="1"/>
  </dataFields>
  <formats count="18">
    <format dxfId="2399">
      <pivotArea type="all" dataOnly="0" outline="0" fieldPosition="0"/>
    </format>
    <format dxfId="2400">
      <pivotArea type="all" dataOnly="0" outline="0" fieldPosition="0"/>
    </format>
    <format dxfId="2401">
      <pivotArea field="0" type="button" dataOnly="0" labelOnly="1" outline="0"/>
    </format>
    <format dxfId="2402">
      <pivotArea grandRow="1" outline="0" collapsedLevelsAreSubtotals="1" fieldPosition="0"/>
    </format>
    <format dxfId="2403">
      <pivotArea type="all" dataOnly="0" outline="0" fieldPosition="0"/>
    </format>
    <format dxfId="2404">
      <pivotArea field="3" type="button" dataOnly="0" labelOnly="1" outline="0"/>
    </format>
    <format dxfId="2405">
      <pivotArea type="all" dataOnly="0" outline="0" fieldPosition="0"/>
    </format>
    <format dxfId="2406">
      <pivotArea field="6" type="button" dataOnly="0" labelOnly="1" outline="0"/>
    </format>
    <format dxfId="2407">
      <pivotArea type="all" dataOnly="0" outline="0" fieldPosition="0"/>
    </format>
    <format dxfId="2408">
      <pivotArea outline="0" collapsedLevelsAreSubtotals="1" fieldPosition="0"/>
    </format>
    <format dxfId="2409">
      <pivotArea field="5" type="button" dataOnly="0" labelOnly="1" outline="0"/>
    </format>
    <format dxfId="2410">
      <pivotArea dataOnly="0" labelOnly="1" grandRow="1" outline="0" fieldPosition="0"/>
    </format>
    <format dxfId="2398">
      <pivotArea outline="0" collapsedLevelsAreSubtotals="1" fieldPosition="0"/>
    </format>
    <format dxfId="2397">
      <pivotArea type="all" dataOnly="0" outline="0" fieldPosition="0"/>
    </format>
    <format dxfId="2396">
      <pivotArea outline="0" collapsedLevelsAreSubtotals="1" fieldPosition="0"/>
    </format>
    <format dxfId="2395">
      <pivotArea field="7" type="button" dataOnly="0" labelOnly="1" outline="0" axis="axisRow" fieldPosition="0"/>
    </format>
    <format dxfId="2394">
      <pivotArea dataOnly="0" labelOnly="1" fieldPosition="0">
        <references count="1">
          <reference field="7" count="0"/>
        </references>
      </pivotArea>
    </format>
    <format dxfId="2393">
      <pivotArea dataOnly="0" labelOnly="1" outline="0" axis="axisValues" fieldPosition="0"/>
    </format>
  </format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B5EF60-7D71-47D1-B4F6-F22CCA6C0CAE}"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117:B121"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4"/>
  </dataFields>
  <formats count="18">
    <format dxfId="2412">
      <pivotArea type="all" dataOnly="0" outline="0" fieldPosition="0"/>
    </format>
    <format dxfId="2413">
      <pivotArea type="all" dataOnly="0" outline="0" fieldPosition="0"/>
    </format>
    <format dxfId="2414">
      <pivotArea field="0" type="button" dataOnly="0" labelOnly="1" outline="0"/>
    </format>
    <format dxfId="2415">
      <pivotArea grandRow="1" outline="0" collapsedLevelsAreSubtotals="1" fieldPosition="0"/>
    </format>
    <format dxfId="2416">
      <pivotArea type="all" dataOnly="0" outline="0" fieldPosition="0"/>
    </format>
    <format dxfId="2417">
      <pivotArea field="3" type="button" dataOnly="0" labelOnly="1" outline="0"/>
    </format>
    <format dxfId="2418">
      <pivotArea type="all" dataOnly="0" outline="0" fieldPosition="0"/>
    </format>
    <format dxfId="2419">
      <pivotArea field="6" type="button" dataOnly="0" labelOnly="1" outline="0"/>
    </format>
    <format dxfId="2420">
      <pivotArea type="all" dataOnly="0" outline="0" fieldPosition="0"/>
    </format>
    <format dxfId="2421">
      <pivotArea outline="0" collapsedLevelsAreSubtotals="1" fieldPosition="0"/>
    </format>
    <format dxfId="2422">
      <pivotArea field="5" type="button" dataOnly="0" labelOnly="1" outline="0"/>
    </format>
    <format dxfId="2423">
      <pivotArea dataOnly="0" labelOnly="1" grandRow="1" outline="0" fieldPosition="0"/>
    </format>
    <format dxfId="2411">
      <pivotArea outline="0" collapsedLevelsAreSubtotals="1" fieldPosition="0"/>
    </format>
    <format dxfId="2392">
      <pivotArea type="all" dataOnly="0" outline="0" fieldPosition="0"/>
    </format>
    <format dxfId="2391">
      <pivotArea outline="0" collapsedLevelsAreSubtotals="1" fieldPosition="0"/>
    </format>
    <format dxfId="2390">
      <pivotArea field="7" type="button" dataOnly="0" labelOnly="1" outline="0" axis="axisRow" fieldPosition="0"/>
    </format>
    <format dxfId="2389">
      <pivotArea dataOnly="0" labelOnly="1" fieldPosition="0">
        <references count="1">
          <reference field="7" count="0"/>
        </references>
      </pivotArea>
    </format>
    <format dxfId="2388">
      <pivotArea dataOnly="0" labelOnly="1" outline="0" axis="axisValues" fieldPosition="0"/>
    </format>
  </formats>
  <chartFormats count="13">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314DDD-6AB4-410E-96C6-F60859A68E58}"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109:B113"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7"/>
  </dataFields>
  <formats count="18">
    <format dxfId="2425">
      <pivotArea type="all" dataOnly="0" outline="0" fieldPosition="0"/>
    </format>
    <format dxfId="2426">
      <pivotArea type="all" dataOnly="0" outline="0" fieldPosition="0"/>
    </format>
    <format dxfId="2427">
      <pivotArea field="0" type="button" dataOnly="0" labelOnly="1" outline="0"/>
    </format>
    <format dxfId="2428">
      <pivotArea grandRow="1" outline="0" collapsedLevelsAreSubtotals="1" fieldPosition="0"/>
    </format>
    <format dxfId="2429">
      <pivotArea type="all" dataOnly="0" outline="0" fieldPosition="0"/>
    </format>
    <format dxfId="2430">
      <pivotArea field="3" type="button" dataOnly="0" labelOnly="1" outline="0"/>
    </format>
    <format dxfId="2431">
      <pivotArea type="all" dataOnly="0" outline="0" fieldPosition="0"/>
    </format>
    <format dxfId="2432">
      <pivotArea field="6" type="button" dataOnly="0" labelOnly="1" outline="0"/>
    </format>
    <format dxfId="2433">
      <pivotArea type="all" dataOnly="0" outline="0" fieldPosition="0"/>
    </format>
    <format dxfId="2434">
      <pivotArea outline="0" collapsedLevelsAreSubtotals="1" fieldPosition="0"/>
    </format>
    <format dxfId="2435">
      <pivotArea field="5" type="button" dataOnly="0" labelOnly="1" outline="0"/>
    </format>
    <format dxfId="2436">
      <pivotArea dataOnly="0" labelOnly="1" grandRow="1" outline="0" fieldPosition="0"/>
    </format>
    <format dxfId="2424">
      <pivotArea outline="0" collapsedLevelsAreSubtotals="1" fieldPosition="0"/>
    </format>
    <format dxfId="2387">
      <pivotArea type="all" dataOnly="0" outline="0" fieldPosition="0"/>
    </format>
    <format dxfId="2386">
      <pivotArea outline="0" collapsedLevelsAreSubtotals="1" fieldPosition="0"/>
    </format>
    <format dxfId="2385">
      <pivotArea field="7" type="button" dataOnly="0" labelOnly="1" outline="0" axis="axisRow" fieldPosition="0"/>
    </format>
    <format dxfId="2384">
      <pivotArea dataOnly="0" labelOnly="1" fieldPosition="0">
        <references count="1">
          <reference field="7" count="0"/>
        </references>
      </pivotArea>
    </format>
    <format dxfId="2383">
      <pivotArea dataOnly="0" labelOnly="1" outline="0" axis="axisValues" fieldPosition="0"/>
    </format>
  </formats>
  <chartFormats count="11">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BC19EE-7C93-4242-95BB-089DB4CB914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93:B97"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dataFields>
  <formats count="15">
    <format dxfId="2444">
      <pivotArea type="all" dataOnly="0" outline="0" fieldPosition="0"/>
    </format>
    <format dxfId="2445">
      <pivotArea type="all" dataOnly="0" outline="0" fieldPosition="0"/>
    </format>
    <format dxfId="2446">
      <pivotArea field="0" type="button" dataOnly="0" labelOnly="1" outline="0"/>
    </format>
    <format dxfId="2447">
      <pivotArea grandRow="1" outline="0" collapsedLevelsAreSubtotals="1" fieldPosition="0"/>
    </format>
    <format dxfId="2448">
      <pivotArea type="all" dataOnly="0" outline="0" fieldPosition="0"/>
    </format>
    <format dxfId="2449">
      <pivotArea field="3" type="button" dataOnly="0" labelOnly="1" outline="0"/>
    </format>
    <format dxfId="2450">
      <pivotArea type="all" dataOnly="0" outline="0" fieldPosition="0"/>
    </format>
    <format dxfId="2451">
      <pivotArea field="6" type="button" dataOnly="0" labelOnly="1" outline="0"/>
    </format>
    <format dxfId="2443">
      <pivotArea collapsedLevelsAreSubtotals="1" fieldPosition="0">
        <references count="1">
          <reference field="5" count="0"/>
        </references>
      </pivotArea>
    </format>
    <format dxfId="2442">
      <pivotArea type="all" dataOnly="0" outline="0" fieldPosition="0"/>
    </format>
    <format dxfId="2441">
      <pivotArea outline="0" collapsedLevelsAreSubtotals="1" fieldPosition="0"/>
    </format>
    <format dxfId="2440">
      <pivotArea field="5" type="button" dataOnly="0" labelOnly="1" outline="0" axis="axisRow" fieldPosition="0"/>
    </format>
    <format dxfId="2439">
      <pivotArea dataOnly="0" labelOnly="1" fieldPosition="0">
        <references count="1">
          <reference field="5" count="0"/>
        </references>
      </pivotArea>
    </format>
    <format dxfId="2438">
      <pivotArea dataOnly="0" labelOnly="1" grandRow="1" outline="0" fieldPosition="0"/>
    </format>
    <format dxfId="2437">
      <pivotArea dataOnly="0" labelOnly="1" outline="0" axis="axisValues" fieldPosition="0"/>
    </format>
  </formats>
  <chartFormats count="9">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514701-6FD2-482E-98E6-57BA97FC65F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78:B82"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dataFields>
  <formats count="13">
    <format dxfId="2459">
      <pivotArea type="all" dataOnly="0" outline="0" fieldPosition="0"/>
    </format>
    <format dxfId="2460">
      <pivotArea type="all" dataOnly="0" outline="0" fieldPosition="0"/>
    </format>
    <format dxfId="2461">
      <pivotArea field="0" type="button" dataOnly="0" labelOnly="1" outline="0"/>
    </format>
    <format dxfId="2462">
      <pivotArea grandRow="1" outline="0" collapsedLevelsAreSubtotals="1" fieldPosition="0"/>
    </format>
    <format dxfId="2463">
      <pivotArea type="all" dataOnly="0" outline="0" fieldPosition="0"/>
    </format>
    <format dxfId="2464">
      <pivotArea field="3" type="button" dataOnly="0" labelOnly="1" outline="0"/>
    </format>
    <format dxfId="2458">
      <pivotArea collapsedLevelsAreSubtotals="1" fieldPosition="0">
        <references count="1">
          <reference field="6" count="0"/>
        </references>
      </pivotArea>
    </format>
    <format dxfId="2457">
      <pivotArea type="all" dataOnly="0" outline="0" fieldPosition="0"/>
    </format>
    <format dxfId="2456">
      <pivotArea outline="0" collapsedLevelsAreSubtotals="1" fieldPosition="0"/>
    </format>
    <format dxfId="2455">
      <pivotArea field="6" type="button" dataOnly="0" labelOnly="1" outline="0" axis="axisRow" fieldPosition="0"/>
    </format>
    <format dxfId="2454">
      <pivotArea dataOnly="0" labelOnly="1" fieldPosition="0">
        <references count="1">
          <reference field="6" count="0"/>
        </references>
      </pivotArea>
    </format>
    <format dxfId="2453">
      <pivotArea dataOnly="0" labelOnly="1" grandRow="1" outline="0" fieldPosition="0"/>
    </format>
    <format dxfId="2452">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6" count="1" selected="0">
            <x v="0"/>
          </reference>
        </references>
      </pivotArea>
    </chartFormat>
    <chartFormat chart="16" format="7">
      <pivotArea type="data" outline="0" fieldPosition="0">
        <references count="2">
          <reference field="4294967294" count="1" selected="0">
            <x v="0"/>
          </reference>
          <reference field="6" count="1" selected="0">
            <x v="1"/>
          </reference>
        </references>
      </pivotArea>
    </chartFormat>
    <chartFormat chart="16"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1D3348-1051-4785-88B3-8BD2CA8998A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2:B72"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formats count="11">
    <format dxfId="2472">
      <pivotArea type="all" dataOnly="0" outline="0" fieldPosition="0"/>
    </format>
    <format dxfId="2473">
      <pivotArea type="all" dataOnly="0" outline="0" fieldPosition="0"/>
    </format>
    <format dxfId="2474">
      <pivotArea field="0" type="button" dataOnly="0" labelOnly="1" outline="0"/>
    </format>
    <format dxfId="2475">
      <pivotArea grandRow="1" outline="0" collapsedLevelsAreSubtotals="1" fieldPosition="0"/>
    </format>
    <format dxfId="2471">
      <pivotArea type="all" dataOnly="0" outline="0" fieldPosition="0"/>
    </format>
    <format dxfId="2470">
      <pivotArea outline="0" collapsedLevelsAreSubtotals="1" fieldPosition="0"/>
    </format>
    <format dxfId="2469">
      <pivotArea field="3" type="button" dataOnly="0" labelOnly="1" outline="0" axis="axisRow" fieldPosition="0"/>
    </format>
    <format dxfId="2468">
      <pivotArea dataOnly="0" labelOnly="1" fieldPosition="0">
        <references count="1">
          <reference field="3" count="0"/>
        </references>
      </pivotArea>
    </format>
    <format dxfId="2467">
      <pivotArea dataOnly="0" labelOnly="1" grandRow="1" outline="0" fieldPosition="0"/>
    </format>
    <format dxfId="2466">
      <pivotArea dataOnly="0" labelOnly="1" outline="0" axis="axisValues" fieldPosition="0"/>
    </format>
    <format dxfId="2465">
      <pivotArea collapsedLevelsAreSubtotals="1" fieldPosition="0">
        <references count="1">
          <reference field="3" count="0"/>
        </references>
      </pivotArea>
    </format>
  </formats>
  <chartFormats count="16">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0"/>
          </reference>
        </references>
      </pivotArea>
    </chartFormat>
    <chartFormat chart="11" format="4">
      <pivotArea type="data" outline="0" fieldPosition="0">
        <references count="2">
          <reference field="4294967294" count="1" selected="0">
            <x v="0"/>
          </reference>
          <reference field="3" count="1" selected="0">
            <x v="1"/>
          </reference>
        </references>
      </pivotArea>
    </chartFormat>
    <chartFormat chart="11" format="5">
      <pivotArea type="data" outline="0" fieldPosition="0">
        <references count="2">
          <reference field="4294967294" count="1" selected="0">
            <x v="0"/>
          </reference>
          <reference field="3" count="1" selected="0">
            <x v="2"/>
          </reference>
        </references>
      </pivotArea>
    </chartFormat>
    <chartFormat chart="11" format="6">
      <pivotArea type="data" outline="0" fieldPosition="0">
        <references count="2">
          <reference field="4294967294" count="1" selected="0">
            <x v="0"/>
          </reference>
          <reference field="3" count="1" selected="0">
            <x v="3"/>
          </reference>
        </references>
      </pivotArea>
    </chartFormat>
    <chartFormat chart="11" format="7">
      <pivotArea type="data" outline="0" fieldPosition="0">
        <references count="2">
          <reference field="4294967294" count="1" selected="0">
            <x v="0"/>
          </reference>
          <reference field="3" count="1" selected="0">
            <x v="4"/>
          </reference>
        </references>
      </pivotArea>
    </chartFormat>
    <chartFormat chart="11" format="8">
      <pivotArea type="data" outline="0" fieldPosition="0">
        <references count="2">
          <reference field="4294967294" count="1" selected="0">
            <x v="0"/>
          </reference>
          <reference field="3" count="1" selected="0">
            <x v="5"/>
          </reference>
        </references>
      </pivotArea>
    </chartFormat>
    <chartFormat chart="11" format="9">
      <pivotArea type="data" outline="0" fieldPosition="0">
        <references count="2">
          <reference field="4294967294" count="1" selected="0">
            <x v="0"/>
          </reference>
          <reference field="3" count="1" selected="0">
            <x v="6"/>
          </reference>
        </references>
      </pivotArea>
    </chartFormat>
    <chartFormat chart="11" format="10">
      <pivotArea type="data" outline="0" fieldPosition="0">
        <references count="2">
          <reference field="4294967294" count="1" selected="0">
            <x v="0"/>
          </reference>
          <reference field="3" count="1" selected="0">
            <x v="7"/>
          </reference>
        </references>
      </pivotArea>
    </chartFormat>
    <chartFormat chart="11"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D4381F-B5A6-4549-B9AF-010DD2BEC12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7:B54"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dataFields>
  <formats count="11">
    <format dxfId="2486">
      <pivotArea type="all" dataOnly="0" outline="0" fieldPosition="0"/>
    </format>
    <format dxfId="2485">
      <pivotArea type="all" dataOnly="0" outline="0" fieldPosition="0"/>
    </format>
    <format dxfId="2484">
      <pivotArea field="0" type="button" dataOnly="0" labelOnly="1" outline="0"/>
    </format>
    <format dxfId="2483">
      <pivotArea grandRow="1" outline="0" collapsedLevelsAreSubtotals="1" fieldPosition="0"/>
    </format>
    <format dxfId="2482">
      <pivotArea collapsedLevelsAreSubtotals="1" fieldPosition="0">
        <references count="1">
          <reference field="2" count="0"/>
        </references>
      </pivotArea>
    </format>
    <format dxfId="2481">
      <pivotArea type="all" dataOnly="0" outline="0" fieldPosition="0"/>
    </format>
    <format dxfId="2480">
      <pivotArea outline="0" collapsedLevelsAreSubtotals="1" fieldPosition="0"/>
    </format>
    <format dxfId="2479">
      <pivotArea field="2" type="button" dataOnly="0" labelOnly="1" outline="0" axis="axisRow" fieldPosition="0"/>
    </format>
    <format dxfId="2478">
      <pivotArea dataOnly="0" labelOnly="1" fieldPosition="0">
        <references count="1">
          <reference field="2" count="0"/>
        </references>
      </pivotArea>
    </format>
    <format dxfId="2477">
      <pivotArea dataOnly="0" labelOnly="1" grandRow="1" outline="0" fieldPosition="0"/>
    </format>
    <format dxfId="2476">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7FF982-1D54-45CF-B56A-C26DAFD471FC}" name="PivotTable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location ref="A26:C31"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Fields count="1">
    <field x="0"/>
  </colFields>
  <colItems count="2">
    <i>
      <x/>
    </i>
    <i>
      <x v="1"/>
    </i>
  </colItems>
  <dataFields count="1">
    <dataField name="Sum of Sales" fld="10" baseField="0" baseItem="0"/>
  </dataFields>
  <formats count="10">
    <format dxfId="2496">
      <pivotArea type="all" dataOnly="0" outline="0" fieldPosition="0"/>
    </format>
    <format dxfId="2495">
      <pivotArea outline="0" collapsedLevelsAreSubtotals="1" fieldPosition="0"/>
    </format>
    <format dxfId="2494">
      <pivotArea type="origin" dataOnly="0" labelOnly="1" outline="0" fieldPosition="0"/>
    </format>
    <format dxfId="2493">
      <pivotArea field="0" type="button" dataOnly="0" labelOnly="1" outline="0" axis="axisCol" fieldPosition="0"/>
    </format>
    <format dxfId="2492">
      <pivotArea type="topRight" dataOnly="0" labelOnly="1" outline="0" fieldPosition="0"/>
    </format>
    <format dxfId="2491">
      <pivotArea field="5" type="button" dataOnly="0" labelOnly="1" outline="0" axis="axisRow" fieldPosition="0"/>
    </format>
    <format dxfId="2490">
      <pivotArea dataOnly="0" labelOnly="1" fieldPosition="0">
        <references count="1">
          <reference field="5" count="0"/>
        </references>
      </pivotArea>
    </format>
    <format dxfId="2489">
      <pivotArea dataOnly="0" labelOnly="1" grandRow="1" outline="0" fieldPosition="0"/>
    </format>
    <format dxfId="2488">
      <pivotArea dataOnly="0" labelOnly="1" fieldPosition="0">
        <references count="1">
          <reference field="0" count="0"/>
        </references>
      </pivotArea>
    </format>
    <format dxfId="2487">
      <pivotArea collapsedLevelsAreSubtotals="1" fieldPosition="0">
        <references count="1">
          <reference field="5" count="0"/>
        </references>
      </pivotArea>
    </format>
  </formats>
  <chartFormats count="6">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CF757C-E065-4962-8BE8-FDA6E5F1D85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17"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9">
    <format dxfId="2505">
      <pivotArea type="all" dataOnly="0" outline="0" fieldPosition="0"/>
    </format>
    <format dxfId="2504">
      <pivotArea outline="0" collapsedLevelsAreSubtotals="1" fieldPosition="0"/>
    </format>
    <format dxfId="2503">
      <pivotArea type="all" dataOnly="0" outline="0" fieldPosition="0"/>
    </format>
    <format dxfId="2502">
      <pivotArea outline="0" collapsedLevelsAreSubtotals="1" fieldPosition="0"/>
    </format>
    <format dxfId="2501">
      <pivotArea field="0" type="button" dataOnly="0" labelOnly="1" outline="0" axis="axisRow" fieldPosition="0"/>
    </format>
    <format dxfId="2500">
      <pivotArea dataOnly="0" labelOnly="1" fieldPosition="0">
        <references count="1">
          <reference field="0" count="0"/>
        </references>
      </pivotArea>
    </format>
    <format dxfId="2499">
      <pivotArea dataOnly="0" labelOnly="1" grandRow="1" outline="0" fieldPosition="0"/>
    </format>
    <format dxfId="2498">
      <pivotArea dataOnly="0" labelOnly="1" outline="0" axis="axisValues" fieldPosition="0"/>
    </format>
    <format dxfId="2497">
      <pivotArea collapsedLevelsAreSubtotals="1" fieldPosition="0">
        <references count="1">
          <reference field="0" count="0"/>
        </references>
      </pivotArea>
    </format>
  </formats>
  <chartFormats count="6">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2189DC-FE21-4839-8555-0DA6EACD45B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1"/>
    <dataField name="No of Item" fld="2" subtotal="count" baseField="0" baseItem="1"/>
    <dataField name="Average of Rating" fld="11" subtotal="average" baseField="0" baseItem="1"/>
  </dataFields>
  <formats count="9">
    <format dxfId="2514">
      <pivotArea type="all" dataOnly="0" outline="0" fieldPosition="0"/>
    </format>
    <format dxfId="2513">
      <pivotArea outline="0" collapsedLevelsAreSubtotals="1" fieldPosition="0"/>
    </format>
    <format dxfId="2512">
      <pivotArea dataOnly="0" labelOnly="1" outline="0" fieldPosition="0">
        <references count="1">
          <reference field="4294967294" count="4">
            <x v="0"/>
            <x v="1"/>
            <x v="2"/>
            <x v="3"/>
          </reference>
        </references>
      </pivotArea>
    </format>
    <format dxfId="2511">
      <pivotArea type="all" dataOnly="0" outline="0" fieldPosition="0"/>
    </format>
    <format dxfId="2510">
      <pivotArea outline="0" collapsedLevelsAreSubtotals="1" fieldPosition="0"/>
    </format>
    <format dxfId="2509">
      <pivotArea dataOnly="0" labelOnly="1" outline="0" fieldPosition="0">
        <references count="1">
          <reference field="4294967294" count="4">
            <x v="0"/>
            <x v="1"/>
            <x v="2"/>
            <x v="3"/>
          </reference>
        </references>
      </pivotArea>
    </format>
    <format dxfId="2508">
      <pivotArea type="all" dataOnly="0" outline="0" fieldPosition="0"/>
    </format>
    <format dxfId="2507">
      <pivotArea outline="0" collapsedLevelsAreSubtotals="1" fieldPosition="0"/>
    </format>
    <format dxfId="250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F014694-D470-42F4-8236-A1B653349DAC}"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36633521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5D8DD80-31F8-458C-8666-EF20ECB0365A}" sourceName="Outlet Location Type">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136633521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A4E6BDE-CED3-417B-A95B-0543687ADFF3}" sourceName="Item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36633521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0227E81-C0F1-495A-BF64-31459F816EC0}" cache="Slicer_Outlet_Size" caption="Outlet Size" rowHeight="260350"/>
  <slicer name="Outlet Location Type" xr10:uid="{5953B13C-75A1-47BB-95F7-3B580E0F81F2}" cache="Slicer_Outlet_Location_Type" caption="Outlet Location Type" rowHeight="260350"/>
  <slicer name="Item Type" xr10:uid="{15A50E1A-0D75-4111-ACE0-0D562BFD08FA}"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99F5491-6212-4889-9BE1-D8EE5A851EF2}" cache="Slicer_Outlet_Size" caption="Outlet Size" style="Instamart Analysis" rowHeight="260350"/>
  <slicer name="Outlet Location Type 1" xr10:uid="{97A7B75C-3B65-4E6C-A310-0DC9FF49AD8F}" cache="Slicer_Outlet_Location_Type" caption="Outlet Location " style="Instamart Analysis" rowHeight="260350"/>
  <slicer name="Item Type 1" xr10:uid="{FFE74B35-C872-4022-8945-E08C546411A3}" cache="Slicer_Item_Type" caption="Item Type" style="Instamar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8115-0FDB-4018-8F3D-2E84543F8BA9}">
  <dimension ref="A1:J223"/>
  <sheetViews>
    <sheetView tabSelected="1" topLeftCell="A27" zoomScale="90" zoomScaleNormal="90" workbookViewId="0">
      <selection activeCell="A42" sqref="A42"/>
    </sheetView>
  </sheetViews>
  <sheetFormatPr defaultRowHeight="15.6" x14ac:dyDescent="0.3"/>
  <cols>
    <col min="1" max="1" width="17.296875" bestFit="1" customWidth="1"/>
    <col min="2" max="2" width="14.8984375" bestFit="1" customWidth="1"/>
    <col min="3" max="3" width="12" bestFit="1" customWidth="1"/>
    <col min="4" max="4" width="16" bestFit="1" customWidth="1"/>
  </cols>
  <sheetData>
    <row r="1" spans="1:6" ht="16.2" thickBot="1" x14ac:dyDescent="0.35"/>
    <row r="2" spans="1:6" ht="16.2" thickBot="1" x14ac:dyDescent="0.35">
      <c r="A2" s="38" t="s">
        <v>1617</v>
      </c>
      <c r="B2" s="39"/>
      <c r="C2" s="39"/>
      <c r="D2" s="40"/>
    </row>
    <row r="3" spans="1:6" ht="16.2" thickBot="1" x14ac:dyDescent="0.35">
      <c r="A3" s="9" t="s">
        <v>1610</v>
      </c>
      <c r="B3" s="10" t="s">
        <v>1611</v>
      </c>
      <c r="C3" s="10" t="s">
        <v>1612</v>
      </c>
      <c r="D3" s="11" t="s">
        <v>1613</v>
      </c>
    </row>
    <row r="4" spans="1:6" ht="16.2" thickBot="1" x14ac:dyDescent="0.35">
      <c r="A4" s="43">
        <v>1201681.4928000034</v>
      </c>
      <c r="B4" s="44">
        <v>140.99278338613203</v>
      </c>
      <c r="C4" s="44">
        <v>8523</v>
      </c>
      <c r="D4" s="45">
        <v>3.9658570925731196</v>
      </c>
    </row>
    <row r="5" spans="1:6" x14ac:dyDescent="0.3">
      <c r="A5" s="5"/>
      <c r="D5" s="6"/>
    </row>
    <row r="6" spans="1:6" x14ac:dyDescent="0.3">
      <c r="A6" s="5"/>
      <c r="D6" s="6"/>
    </row>
    <row r="7" spans="1:6" x14ac:dyDescent="0.3">
      <c r="A7" s="5"/>
      <c r="D7" s="6"/>
    </row>
    <row r="8" spans="1:6" x14ac:dyDescent="0.3">
      <c r="A8" s="5"/>
      <c r="D8" s="6"/>
    </row>
    <row r="9" spans="1:6" x14ac:dyDescent="0.3">
      <c r="A9" s="5" t="s">
        <v>1614</v>
      </c>
      <c r="B9" t="s">
        <v>1615</v>
      </c>
      <c r="C9" t="s">
        <v>1616</v>
      </c>
      <c r="D9" s="6" t="s">
        <v>1625</v>
      </c>
    </row>
    <row r="10" spans="1:6" ht="16.2" thickBot="1" x14ac:dyDescent="0.35">
      <c r="A10" s="12">
        <f>GETPIVOTDATA("Sum of Sales",$A$3)</f>
        <v>1201681.4928000034</v>
      </c>
      <c r="B10" s="1">
        <f>GETPIVOTDATA("Average of Sales",$A$3)</f>
        <v>140.99278338613203</v>
      </c>
      <c r="C10" s="2">
        <f>GETPIVOTDATA("No of Item",$A$3)</f>
        <v>8523</v>
      </c>
      <c r="D10" s="13">
        <f>GETPIVOTDATA("Average of Rating",$A$3)</f>
        <v>3.9658570925731196</v>
      </c>
    </row>
    <row r="12" spans="1:6" ht="16.2" thickBot="1" x14ac:dyDescent="0.35"/>
    <row r="13" spans="1:6" ht="19.8" thickBot="1" x14ac:dyDescent="0.5">
      <c r="A13" s="38" t="s">
        <v>1620</v>
      </c>
      <c r="B13" s="39"/>
      <c r="C13" s="39"/>
      <c r="D13" s="40"/>
      <c r="E13" s="14"/>
      <c r="F13" s="2"/>
    </row>
    <row r="14" spans="1:6" ht="16.2" thickBot="1" x14ac:dyDescent="0.35">
      <c r="A14" s="15" t="s">
        <v>1618</v>
      </c>
      <c r="B14" s="18" t="s">
        <v>1610</v>
      </c>
      <c r="E14" s="6"/>
    </row>
    <row r="15" spans="1:6" x14ac:dyDescent="0.3">
      <c r="A15" s="16" t="s">
        <v>17</v>
      </c>
      <c r="B15" s="20">
        <v>776319.68840000057</v>
      </c>
      <c r="E15" s="6"/>
    </row>
    <row r="16" spans="1:6" ht="16.2" thickBot="1" x14ac:dyDescent="0.35">
      <c r="A16" s="17" t="s">
        <v>10</v>
      </c>
      <c r="B16" s="21">
        <v>425361.8043999995</v>
      </c>
      <c r="E16" s="6"/>
    </row>
    <row r="17" spans="1:7" ht="16.2" thickBot="1" x14ac:dyDescent="0.35">
      <c r="A17" s="17" t="s">
        <v>1619</v>
      </c>
      <c r="B17" s="41">
        <v>1201681.4928000001</v>
      </c>
      <c r="E17" s="6"/>
    </row>
    <row r="18" spans="1:7" x14ac:dyDescent="0.3">
      <c r="A18" s="5"/>
      <c r="E18" s="6"/>
    </row>
    <row r="19" spans="1:7" x14ac:dyDescent="0.3">
      <c r="A19" s="5"/>
      <c r="E19" s="6"/>
    </row>
    <row r="20" spans="1:7" x14ac:dyDescent="0.3">
      <c r="A20" s="5"/>
      <c r="E20" s="6"/>
    </row>
    <row r="21" spans="1:7" ht="16.2" thickBot="1" x14ac:dyDescent="0.35">
      <c r="A21" s="7"/>
      <c r="B21" s="2"/>
      <c r="C21" s="2"/>
      <c r="D21" s="2"/>
      <c r="E21" s="8"/>
    </row>
    <row r="24" spans="1:7" ht="16.2" thickBot="1" x14ac:dyDescent="0.35"/>
    <row r="25" spans="1:7" ht="16.2" thickBot="1" x14ac:dyDescent="0.35">
      <c r="A25" s="38" t="s">
        <v>1623</v>
      </c>
      <c r="B25" s="39"/>
      <c r="C25" s="39"/>
      <c r="D25" s="40"/>
      <c r="E25" s="3"/>
      <c r="F25" s="3"/>
      <c r="G25" s="4"/>
    </row>
    <row r="26" spans="1:7" ht="16.2" thickBot="1" x14ac:dyDescent="0.35">
      <c r="A26" s="15" t="s">
        <v>1610</v>
      </c>
      <c r="B26" s="15" t="s">
        <v>1621</v>
      </c>
      <c r="C26" s="18"/>
      <c r="G26" s="6"/>
    </row>
    <row r="27" spans="1:7" ht="16.2" thickBot="1" x14ac:dyDescent="0.35">
      <c r="A27" s="15" t="s">
        <v>1618</v>
      </c>
      <c r="B27" s="9" t="s">
        <v>10</v>
      </c>
      <c r="C27" s="11" t="s">
        <v>17</v>
      </c>
      <c r="G27" s="6"/>
    </row>
    <row r="28" spans="1:7" x14ac:dyDescent="0.3">
      <c r="A28" s="33" t="s">
        <v>14</v>
      </c>
      <c r="B28" s="22">
        <v>121349.89940000001</v>
      </c>
      <c r="C28" s="23">
        <v>215047.9126000001</v>
      </c>
      <c r="G28" s="6"/>
    </row>
    <row r="29" spans="1:7" x14ac:dyDescent="0.3">
      <c r="A29" s="16" t="s">
        <v>34</v>
      </c>
      <c r="B29" s="24">
        <v>138685.86819999994</v>
      </c>
      <c r="C29" s="25">
        <v>254464.77940000014</v>
      </c>
      <c r="G29" s="6"/>
    </row>
    <row r="30" spans="1:7" ht="16.2" thickBot="1" x14ac:dyDescent="0.35">
      <c r="A30" s="17" t="s">
        <v>21</v>
      </c>
      <c r="B30" s="24">
        <v>165326.0368</v>
      </c>
      <c r="C30" s="25">
        <v>306806.99640000012</v>
      </c>
      <c r="G30" s="6"/>
    </row>
    <row r="31" spans="1:7" ht="16.2" thickBot="1" x14ac:dyDescent="0.35">
      <c r="A31" s="34" t="s">
        <v>1619</v>
      </c>
      <c r="B31" s="42">
        <v>425361.80439999996</v>
      </c>
      <c r="C31" s="31">
        <v>776319.68840000033</v>
      </c>
      <c r="G31" s="6"/>
    </row>
    <row r="32" spans="1:7" ht="16.2" thickBot="1" x14ac:dyDescent="0.35">
      <c r="A32" s="7"/>
      <c r="B32" s="2"/>
      <c r="C32" s="2"/>
      <c r="D32" s="2"/>
      <c r="E32" s="2"/>
      <c r="F32" s="2"/>
      <c r="G32" s="8"/>
    </row>
    <row r="34" spans="1:7" ht="16.2" thickBot="1" x14ac:dyDescent="0.35"/>
    <row r="35" spans="1:7" x14ac:dyDescent="0.3">
      <c r="A35" s="26"/>
      <c r="B35" s="3"/>
      <c r="C35" s="3"/>
      <c r="D35" s="3"/>
      <c r="E35" s="3"/>
      <c r="F35" s="3"/>
      <c r="G35" s="4"/>
    </row>
    <row r="36" spans="1:7" ht="16.2" thickBot="1" x14ac:dyDescent="0.35">
      <c r="A36" s="27" t="s">
        <v>1622</v>
      </c>
      <c r="B36" s="28"/>
      <c r="C36" s="28"/>
      <c r="D36" s="28"/>
      <c r="E36" s="28"/>
      <c r="F36" s="28"/>
      <c r="G36" s="29"/>
    </row>
    <row r="37" spans="1:7" ht="16.2" thickBot="1" x14ac:dyDescent="0.35">
      <c r="A37" s="15" t="s">
        <v>1618</v>
      </c>
      <c r="B37" s="18" t="s">
        <v>1610</v>
      </c>
      <c r="C37" s="30"/>
      <c r="D37" s="30"/>
      <c r="E37" s="30"/>
      <c r="F37" s="30"/>
      <c r="G37" s="6"/>
    </row>
    <row r="38" spans="1:7" x14ac:dyDescent="0.3">
      <c r="A38" s="33" t="s">
        <v>153</v>
      </c>
      <c r="B38" s="20">
        <v>9077.869999999999</v>
      </c>
      <c r="C38" s="30"/>
      <c r="D38" s="30"/>
      <c r="E38" s="30"/>
      <c r="F38" s="30"/>
      <c r="G38" s="6"/>
    </row>
    <row r="39" spans="1:7" x14ac:dyDescent="0.3">
      <c r="A39" s="16" t="s">
        <v>74</v>
      </c>
      <c r="B39" s="21">
        <v>15596.696600000001</v>
      </c>
      <c r="C39" s="30"/>
      <c r="D39" s="30"/>
      <c r="E39" s="30"/>
      <c r="F39" s="30"/>
      <c r="G39" s="6"/>
    </row>
    <row r="40" spans="1:7" x14ac:dyDescent="0.3">
      <c r="A40" s="16" t="s">
        <v>159</v>
      </c>
      <c r="B40" s="21">
        <v>21880.027399999992</v>
      </c>
      <c r="C40" s="30"/>
      <c r="D40" s="30"/>
      <c r="E40" s="30"/>
      <c r="F40" s="30"/>
      <c r="G40" s="6"/>
    </row>
    <row r="41" spans="1:7" x14ac:dyDescent="0.3">
      <c r="A41" s="16" t="s">
        <v>64</v>
      </c>
      <c r="B41" s="21">
        <v>22451.891599999999</v>
      </c>
      <c r="C41" s="30"/>
      <c r="D41" s="30"/>
      <c r="E41" s="30"/>
      <c r="F41" s="30"/>
      <c r="G41" s="6"/>
    </row>
    <row r="42" spans="1:7" x14ac:dyDescent="0.3">
      <c r="A42" s="16" t="s">
        <v>61</v>
      </c>
      <c r="B42" s="21">
        <v>29334.680599999996</v>
      </c>
      <c r="C42" s="30"/>
      <c r="D42" s="30"/>
      <c r="E42" s="30"/>
      <c r="F42" s="30"/>
      <c r="G42" s="6"/>
    </row>
    <row r="43" spans="1:7" x14ac:dyDescent="0.3">
      <c r="A43" s="16" t="s">
        <v>57</v>
      </c>
      <c r="B43" s="21">
        <v>35379.119800000015</v>
      </c>
      <c r="C43" s="30"/>
      <c r="D43" s="30"/>
      <c r="E43" s="30"/>
      <c r="F43" s="30"/>
      <c r="G43" s="6"/>
    </row>
    <row r="44" spans="1:7" x14ac:dyDescent="0.3">
      <c r="A44" s="16" t="s">
        <v>32</v>
      </c>
      <c r="B44" s="21">
        <v>58514.166999999987</v>
      </c>
      <c r="C44" s="30"/>
      <c r="D44" s="30"/>
      <c r="E44" s="30"/>
      <c r="F44" s="30"/>
      <c r="G44" s="6"/>
    </row>
    <row r="45" spans="1:7" x14ac:dyDescent="0.3">
      <c r="A45" s="16" t="s">
        <v>54</v>
      </c>
      <c r="B45" s="21">
        <v>59449.863799999992</v>
      </c>
      <c r="C45" s="30"/>
      <c r="D45" s="30"/>
      <c r="E45" s="30"/>
      <c r="F45" s="30"/>
      <c r="G45" s="6"/>
    </row>
    <row r="46" spans="1:7" x14ac:dyDescent="0.3">
      <c r="A46" s="16" t="s">
        <v>19</v>
      </c>
      <c r="B46" s="21">
        <v>68025.838800000012</v>
      </c>
      <c r="C46" s="30"/>
      <c r="D46" s="30"/>
      <c r="E46" s="30"/>
      <c r="F46" s="30"/>
      <c r="G46" s="6"/>
    </row>
    <row r="47" spans="1:7" x14ac:dyDescent="0.3">
      <c r="A47" s="16" t="s">
        <v>95</v>
      </c>
      <c r="B47" s="21">
        <v>81894.736400000009</v>
      </c>
      <c r="C47" s="30"/>
      <c r="D47" s="30"/>
      <c r="E47" s="30"/>
      <c r="F47" s="30"/>
      <c r="G47" s="6"/>
    </row>
    <row r="48" spans="1:7" x14ac:dyDescent="0.3">
      <c r="A48" s="16" t="s">
        <v>28</v>
      </c>
      <c r="B48" s="21">
        <v>90706.728999999992</v>
      </c>
      <c r="C48" s="30"/>
      <c r="D48" s="30"/>
      <c r="E48" s="30"/>
      <c r="F48" s="30"/>
      <c r="G48" s="6"/>
    </row>
    <row r="49" spans="1:7" x14ac:dyDescent="0.3">
      <c r="A49" s="16" t="s">
        <v>67</v>
      </c>
      <c r="B49" s="21">
        <v>101276.46159999995</v>
      </c>
      <c r="C49" s="30"/>
      <c r="D49" s="30"/>
      <c r="E49" s="30"/>
      <c r="F49" s="30"/>
      <c r="G49" s="6"/>
    </row>
    <row r="50" spans="1:7" x14ac:dyDescent="0.3">
      <c r="A50" s="16" t="s">
        <v>24</v>
      </c>
      <c r="B50" s="21">
        <v>118558.88140000009</v>
      </c>
      <c r="C50" s="30"/>
      <c r="D50" s="30"/>
      <c r="E50" s="30"/>
      <c r="F50" s="30"/>
      <c r="G50" s="6"/>
    </row>
    <row r="51" spans="1:7" x14ac:dyDescent="0.3">
      <c r="A51" s="16" t="s">
        <v>42</v>
      </c>
      <c r="B51" s="21">
        <v>135976.52539999998</v>
      </c>
      <c r="C51" s="30"/>
      <c r="D51" s="30"/>
      <c r="E51" s="30"/>
      <c r="F51" s="30"/>
      <c r="G51" s="6"/>
    </row>
    <row r="52" spans="1:7" x14ac:dyDescent="0.3">
      <c r="A52" s="16" t="s">
        <v>48</v>
      </c>
      <c r="B52" s="21">
        <v>175433.92240000021</v>
      </c>
      <c r="C52" s="30"/>
      <c r="D52" s="30"/>
      <c r="E52" s="30"/>
      <c r="F52" s="30"/>
      <c r="G52" s="6"/>
    </row>
    <row r="53" spans="1:7" ht="16.2" thickBot="1" x14ac:dyDescent="0.35">
      <c r="A53" s="17" t="s">
        <v>12</v>
      </c>
      <c r="B53" s="21">
        <v>178124.08099999995</v>
      </c>
      <c r="C53" s="30"/>
      <c r="D53" s="30"/>
      <c r="E53" s="30"/>
      <c r="F53" s="30"/>
      <c r="G53" s="6"/>
    </row>
    <row r="54" spans="1:7" ht="16.2" thickBot="1" x14ac:dyDescent="0.35">
      <c r="A54" s="34" t="s">
        <v>1619</v>
      </c>
      <c r="B54" s="19">
        <v>1201681.4927999999</v>
      </c>
      <c r="C54" s="30"/>
      <c r="D54" s="30"/>
      <c r="E54" s="30"/>
      <c r="F54" s="30"/>
      <c r="G54" s="6"/>
    </row>
    <row r="55" spans="1:7" ht="16.2" thickBot="1" x14ac:dyDescent="0.35">
      <c r="A55" s="7"/>
      <c r="B55" s="2"/>
      <c r="C55" s="2"/>
      <c r="D55" s="2"/>
      <c r="E55" s="2"/>
      <c r="F55" s="2"/>
      <c r="G55" s="8"/>
    </row>
    <row r="60" spans="1:7" ht="16.2" thickBot="1" x14ac:dyDescent="0.35"/>
    <row r="61" spans="1:7" ht="16.2" thickBot="1" x14ac:dyDescent="0.35">
      <c r="A61" s="35" t="s">
        <v>1624</v>
      </c>
      <c r="B61" s="36"/>
      <c r="C61" s="36"/>
      <c r="D61" s="36"/>
      <c r="E61" s="36"/>
      <c r="F61" s="37"/>
    </row>
    <row r="62" spans="1:7" ht="16.2" thickBot="1" x14ac:dyDescent="0.35">
      <c r="A62" s="15" t="s">
        <v>1618</v>
      </c>
      <c r="B62" s="18" t="s">
        <v>1610</v>
      </c>
      <c r="C62" s="30"/>
      <c r="D62" s="30"/>
      <c r="E62" s="30"/>
      <c r="F62" s="6"/>
    </row>
    <row r="63" spans="1:7" x14ac:dyDescent="0.3">
      <c r="A63" s="33">
        <v>2011</v>
      </c>
      <c r="B63" s="20">
        <v>78131.566599999976</v>
      </c>
      <c r="C63" s="30"/>
      <c r="D63" s="30"/>
      <c r="E63" s="30"/>
      <c r="F63" s="6"/>
    </row>
    <row r="64" spans="1:7" x14ac:dyDescent="0.3">
      <c r="A64" s="16">
        <v>2012</v>
      </c>
      <c r="B64" s="21">
        <v>130476.85979999998</v>
      </c>
      <c r="C64" s="30"/>
      <c r="D64" s="30"/>
      <c r="E64" s="30"/>
      <c r="F64" s="6"/>
    </row>
    <row r="65" spans="1:6" x14ac:dyDescent="0.3">
      <c r="A65" s="16">
        <v>2014</v>
      </c>
      <c r="B65" s="21">
        <v>131809.01560000007</v>
      </c>
      <c r="C65" s="30"/>
      <c r="D65" s="30"/>
      <c r="E65" s="30"/>
      <c r="F65" s="6"/>
    </row>
    <row r="66" spans="1:6" x14ac:dyDescent="0.3">
      <c r="A66" s="16">
        <v>2015</v>
      </c>
      <c r="B66" s="21">
        <v>130942.78019999999</v>
      </c>
      <c r="C66" s="30"/>
      <c r="D66" s="30"/>
      <c r="E66" s="30"/>
      <c r="F66" s="6"/>
    </row>
    <row r="67" spans="1:6" x14ac:dyDescent="0.3">
      <c r="A67" s="16">
        <v>2016</v>
      </c>
      <c r="B67" s="21">
        <v>132113.36980000007</v>
      </c>
      <c r="C67" s="30"/>
      <c r="D67" s="30"/>
      <c r="E67" s="30"/>
      <c r="F67" s="6"/>
    </row>
    <row r="68" spans="1:6" x14ac:dyDescent="0.3">
      <c r="A68" s="16">
        <v>2017</v>
      </c>
      <c r="B68" s="21">
        <v>133103.90699999989</v>
      </c>
      <c r="C68" s="30"/>
      <c r="D68" s="30"/>
      <c r="E68" s="30"/>
      <c r="F68" s="6"/>
    </row>
    <row r="69" spans="1:6" x14ac:dyDescent="0.3">
      <c r="A69" s="16">
        <v>2018</v>
      </c>
      <c r="B69" s="21">
        <v>204522.25700000025</v>
      </c>
      <c r="C69" s="30"/>
      <c r="D69" s="30"/>
      <c r="E69" s="30"/>
      <c r="F69" s="6"/>
    </row>
    <row r="70" spans="1:6" x14ac:dyDescent="0.3">
      <c r="A70" s="16">
        <v>2020</v>
      </c>
      <c r="B70" s="21">
        <v>129103.96039999987</v>
      </c>
      <c r="C70" s="30"/>
      <c r="D70" s="30"/>
      <c r="E70" s="30"/>
      <c r="F70" s="6"/>
    </row>
    <row r="71" spans="1:6" ht="16.2" thickBot="1" x14ac:dyDescent="0.35">
      <c r="A71" s="17">
        <v>2022</v>
      </c>
      <c r="B71" s="21">
        <v>131477.77639999994</v>
      </c>
      <c r="C71" s="30"/>
      <c r="D71" s="30"/>
      <c r="E71" s="30"/>
      <c r="F71" s="6"/>
    </row>
    <row r="72" spans="1:6" ht="16.2" thickBot="1" x14ac:dyDescent="0.35">
      <c r="A72" s="34" t="s">
        <v>1619</v>
      </c>
      <c r="B72" s="19">
        <v>1201681.4927999999</v>
      </c>
      <c r="C72" s="2"/>
      <c r="D72" s="2"/>
      <c r="E72" s="2"/>
      <c r="F72" s="8"/>
    </row>
    <row r="76" spans="1:6" ht="16.2" thickBot="1" x14ac:dyDescent="0.35"/>
    <row r="77" spans="1:6" ht="16.2" thickBot="1" x14ac:dyDescent="0.35">
      <c r="A77" s="35" t="s">
        <v>1626</v>
      </c>
      <c r="B77" s="36"/>
      <c r="C77" s="36"/>
      <c r="D77" s="36"/>
      <c r="E77" s="37"/>
    </row>
    <row r="78" spans="1:6" ht="16.2" thickBot="1" x14ac:dyDescent="0.35">
      <c r="A78" s="15" t="s">
        <v>1618</v>
      </c>
      <c r="B78" s="18" t="s">
        <v>1610</v>
      </c>
      <c r="C78" s="30"/>
      <c r="D78" s="30"/>
      <c r="E78" s="6"/>
    </row>
    <row r="79" spans="1:6" x14ac:dyDescent="0.3">
      <c r="A79" s="33" t="s">
        <v>30</v>
      </c>
      <c r="B79" s="20">
        <v>248991.58600000024</v>
      </c>
      <c r="C79" s="30"/>
      <c r="D79" s="30"/>
      <c r="E79" s="6"/>
    </row>
    <row r="80" spans="1:6" x14ac:dyDescent="0.3">
      <c r="A80" s="16" t="s">
        <v>15</v>
      </c>
      <c r="B80" s="21">
        <v>507895.7363999993</v>
      </c>
      <c r="C80" s="30"/>
      <c r="D80" s="30"/>
      <c r="E80" s="6"/>
    </row>
    <row r="81" spans="1:10" ht="16.2" thickBot="1" x14ac:dyDescent="0.35">
      <c r="A81" s="17" t="s">
        <v>26</v>
      </c>
      <c r="B81" s="21">
        <v>444794.17039999936</v>
      </c>
      <c r="C81" s="30"/>
      <c r="D81" s="30"/>
      <c r="E81" s="6"/>
    </row>
    <row r="82" spans="1:10" ht="16.2" thickBot="1" x14ac:dyDescent="0.35">
      <c r="A82" s="34" t="s">
        <v>1619</v>
      </c>
      <c r="B82" s="19">
        <v>1201681.4927999987</v>
      </c>
      <c r="C82" s="30"/>
      <c r="D82" s="30"/>
      <c r="E82" s="6"/>
    </row>
    <row r="83" spans="1:10" x14ac:dyDescent="0.3">
      <c r="A83" s="5"/>
      <c r="B83" s="30"/>
      <c r="C83" s="30"/>
      <c r="D83" s="30"/>
      <c r="E83" s="6"/>
    </row>
    <row r="84" spans="1:10" x14ac:dyDescent="0.3">
      <c r="A84" s="5"/>
      <c r="B84" s="30"/>
      <c r="C84" s="30"/>
      <c r="D84" s="30"/>
      <c r="E84" s="6"/>
    </row>
    <row r="85" spans="1:10" x14ac:dyDescent="0.3">
      <c r="A85" s="5"/>
      <c r="B85" s="30"/>
      <c r="C85" s="30"/>
      <c r="D85" s="30"/>
      <c r="E85" s="6"/>
    </row>
    <row r="86" spans="1:10" x14ac:dyDescent="0.3">
      <c r="A86" s="5"/>
      <c r="B86" s="30"/>
      <c r="C86" s="30"/>
      <c r="D86" s="30"/>
      <c r="E86" s="6"/>
    </row>
    <row r="87" spans="1:10" ht="16.2" thickBot="1" x14ac:dyDescent="0.35">
      <c r="A87" s="7"/>
      <c r="B87" s="2"/>
      <c r="C87" s="2"/>
      <c r="D87" s="2"/>
      <c r="E87" s="8"/>
    </row>
    <row r="91" spans="1:10" ht="16.2" thickBot="1" x14ac:dyDescent="0.35"/>
    <row r="92" spans="1:10" ht="16.2" thickBot="1" x14ac:dyDescent="0.35">
      <c r="A92" s="35" t="s">
        <v>1629</v>
      </c>
      <c r="B92" s="36"/>
      <c r="C92" s="36"/>
      <c r="D92" s="36"/>
      <c r="E92" s="36"/>
      <c r="F92" s="36"/>
      <c r="G92" s="36"/>
      <c r="H92" s="36"/>
      <c r="I92" s="36"/>
      <c r="J92" s="37"/>
    </row>
    <row r="93" spans="1:10" ht="16.2" thickBot="1" x14ac:dyDescent="0.35">
      <c r="A93" s="15" t="s">
        <v>1618</v>
      </c>
      <c r="B93" s="18" t="s">
        <v>1610</v>
      </c>
      <c r="C93" s="30"/>
      <c r="D93" s="30"/>
      <c r="E93" s="30"/>
      <c r="F93" s="30"/>
      <c r="G93" s="30"/>
      <c r="H93" s="30"/>
      <c r="I93" s="30"/>
      <c r="J93" s="6"/>
    </row>
    <row r="94" spans="1:10" x14ac:dyDescent="0.3">
      <c r="A94" s="33" t="s">
        <v>14</v>
      </c>
      <c r="B94" s="20">
        <v>336397.81199999945</v>
      </c>
      <c r="C94" s="30" t="s">
        <v>1627</v>
      </c>
      <c r="D94" s="30" t="s">
        <v>1628</v>
      </c>
      <c r="E94" s="30"/>
      <c r="F94" s="30"/>
      <c r="G94" s="30"/>
      <c r="H94" s="30"/>
      <c r="I94" s="30"/>
      <c r="J94" s="6"/>
    </row>
    <row r="95" spans="1:10" x14ac:dyDescent="0.3">
      <c r="A95" s="16" t="s">
        <v>34</v>
      </c>
      <c r="B95" s="21">
        <v>393150.64759999956</v>
      </c>
      <c r="C95" s="30" t="str">
        <f>A94</f>
        <v>Tier 1</v>
      </c>
      <c r="D95" s="32">
        <f>GETPIVOTDATA("Sales",$A$93,"Outlet Location Type","Tier 3")</f>
        <v>472133.03319999954</v>
      </c>
      <c r="E95" s="30"/>
      <c r="F95" s="30"/>
      <c r="G95" s="30"/>
      <c r="H95" s="30"/>
      <c r="I95" s="30"/>
      <c r="J95" s="6"/>
    </row>
    <row r="96" spans="1:10" ht="16.2" thickBot="1" x14ac:dyDescent="0.35">
      <c r="A96" s="17" t="s">
        <v>21</v>
      </c>
      <c r="B96" s="21">
        <v>472133.03319999954</v>
      </c>
      <c r="C96" s="30" t="str">
        <f>A95</f>
        <v>Tier 2</v>
      </c>
      <c r="D96" s="32">
        <f>GETPIVOTDATA("Sales",$A$93,"Outlet Location Type","Tier 2")</f>
        <v>393150.64759999956</v>
      </c>
      <c r="E96" s="30"/>
      <c r="F96" s="30"/>
      <c r="G96" s="30"/>
      <c r="H96" s="30"/>
      <c r="I96" s="30"/>
      <c r="J96" s="6"/>
    </row>
    <row r="97" spans="1:10" ht="16.2" thickBot="1" x14ac:dyDescent="0.35">
      <c r="A97" s="34" t="s">
        <v>1619</v>
      </c>
      <c r="B97" s="19">
        <v>1201681.4927999985</v>
      </c>
      <c r="C97" s="30" t="str">
        <f>A96</f>
        <v>Tier 3</v>
      </c>
      <c r="D97" s="32">
        <f>GETPIVOTDATA("Sales",$A$93,"Outlet Location Type","Tier 1")</f>
        <v>336397.81199999945</v>
      </c>
      <c r="E97" s="30"/>
      <c r="F97" s="30"/>
      <c r="G97" s="30"/>
      <c r="H97" s="30"/>
      <c r="I97" s="30"/>
      <c r="J97" s="6"/>
    </row>
    <row r="98" spans="1:10" x14ac:dyDescent="0.3">
      <c r="A98" s="5"/>
      <c r="B98" s="30"/>
      <c r="C98" s="30"/>
      <c r="D98" s="30"/>
      <c r="E98" s="30"/>
      <c r="F98" s="30"/>
      <c r="G98" s="30"/>
      <c r="H98" s="30"/>
      <c r="I98" s="30"/>
      <c r="J98" s="6"/>
    </row>
    <row r="99" spans="1:10" x14ac:dyDescent="0.3">
      <c r="A99" s="5"/>
      <c r="B99" s="30"/>
      <c r="C99" s="30"/>
      <c r="D99" s="30"/>
      <c r="E99" s="30"/>
      <c r="F99" s="30"/>
      <c r="G99" s="30"/>
      <c r="H99" s="30"/>
      <c r="I99" s="30"/>
      <c r="J99" s="6"/>
    </row>
    <row r="100" spans="1:10" x14ac:dyDescent="0.3">
      <c r="A100" s="5"/>
      <c r="B100" s="30"/>
      <c r="C100" s="30"/>
      <c r="D100" s="30"/>
      <c r="E100" s="30"/>
      <c r="F100" s="30"/>
      <c r="G100" s="30"/>
      <c r="H100" s="30"/>
      <c r="I100" s="30"/>
      <c r="J100" s="6"/>
    </row>
    <row r="101" spans="1:10" x14ac:dyDescent="0.3">
      <c r="A101" s="5"/>
      <c r="B101" s="30"/>
      <c r="C101" s="30"/>
      <c r="D101" s="30"/>
      <c r="E101" s="30"/>
      <c r="F101" s="30"/>
      <c r="G101" s="30"/>
      <c r="H101" s="30"/>
      <c r="I101" s="30"/>
      <c r="J101" s="6"/>
    </row>
    <row r="102" spans="1:10" x14ac:dyDescent="0.3">
      <c r="A102" s="5"/>
      <c r="B102" s="30"/>
      <c r="C102" s="30"/>
      <c r="D102" s="30"/>
      <c r="E102" s="30"/>
      <c r="F102" s="30"/>
      <c r="G102" s="30"/>
      <c r="H102" s="30"/>
      <c r="I102" s="30"/>
      <c r="J102" s="6"/>
    </row>
    <row r="103" spans="1:10" ht="16.2" thickBot="1" x14ac:dyDescent="0.35">
      <c r="A103" s="7"/>
      <c r="B103" s="2"/>
      <c r="C103" s="2"/>
      <c r="D103" s="2"/>
      <c r="E103" s="2"/>
      <c r="F103" s="2"/>
      <c r="G103" s="2"/>
      <c r="H103" s="2"/>
      <c r="I103" s="2"/>
      <c r="J103" s="8"/>
    </row>
    <row r="107" spans="1:10" ht="16.2" thickBot="1" x14ac:dyDescent="0.35"/>
    <row r="108" spans="1:10" ht="16.2" thickBot="1" x14ac:dyDescent="0.35">
      <c r="A108" s="35" t="s">
        <v>1631</v>
      </c>
      <c r="B108" s="36"/>
      <c r="C108" s="36"/>
      <c r="D108" s="36"/>
      <c r="E108" s="37"/>
    </row>
    <row r="109" spans="1:10" ht="16.2" thickBot="1" x14ac:dyDescent="0.35">
      <c r="A109" s="15" t="s">
        <v>1618</v>
      </c>
      <c r="B109" s="18" t="s">
        <v>1610</v>
      </c>
      <c r="C109" s="30"/>
      <c r="D109" s="30"/>
      <c r="E109" s="6"/>
    </row>
    <row r="110" spans="1:10" x14ac:dyDescent="0.3">
      <c r="A110" s="33" t="s">
        <v>40</v>
      </c>
      <c r="B110" s="20">
        <v>151939.149</v>
      </c>
      <c r="C110" s="30"/>
      <c r="D110" s="30"/>
      <c r="E110" s="6"/>
    </row>
    <row r="111" spans="1:10" x14ac:dyDescent="0.3">
      <c r="A111" s="16" t="s">
        <v>46</v>
      </c>
      <c r="B111" s="21">
        <v>130714.67460000006</v>
      </c>
      <c r="C111" s="30"/>
      <c r="D111" s="30"/>
      <c r="E111" s="6"/>
    </row>
    <row r="112" spans="1:10" x14ac:dyDescent="0.3">
      <c r="A112" s="16" t="s">
        <v>22</v>
      </c>
      <c r="B112" s="21">
        <v>131477.77639999994</v>
      </c>
      <c r="C112" s="30"/>
      <c r="D112" s="30"/>
      <c r="E112" s="6"/>
    </row>
    <row r="113" spans="1:5" ht="16.2" thickBot="1" x14ac:dyDescent="0.35">
      <c r="A113" s="17" t="s">
        <v>16</v>
      </c>
      <c r="B113" s="46">
        <v>787549.89280000131</v>
      </c>
      <c r="C113" s="30"/>
      <c r="D113" s="30"/>
      <c r="E113" s="6"/>
    </row>
    <row r="114" spans="1:5" x14ac:dyDescent="0.3">
      <c r="A114" s="5"/>
      <c r="B114" s="30"/>
      <c r="C114" s="30"/>
      <c r="D114" s="30"/>
      <c r="E114" s="6"/>
    </row>
    <row r="115" spans="1:5" x14ac:dyDescent="0.3">
      <c r="A115" s="5"/>
      <c r="B115" s="30"/>
      <c r="C115" s="30"/>
      <c r="D115" s="30"/>
      <c r="E115" s="6"/>
    </row>
    <row r="116" spans="1:5" ht="16.2" thickBot="1" x14ac:dyDescent="0.35">
      <c r="A116" s="5"/>
      <c r="B116" s="30"/>
      <c r="C116" s="30"/>
      <c r="D116" s="30"/>
      <c r="E116" s="6"/>
    </row>
    <row r="117" spans="1:5" ht="16.2" thickBot="1" x14ac:dyDescent="0.35">
      <c r="A117" s="15" t="s">
        <v>1618</v>
      </c>
      <c r="B117" s="18" t="s">
        <v>1611</v>
      </c>
      <c r="C117" s="30"/>
      <c r="D117" s="30"/>
      <c r="E117" s="6"/>
    </row>
    <row r="118" spans="1:5" x14ac:dyDescent="0.3">
      <c r="A118" s="33" t="s">
        <v>40</v>
      </c>
      <c r="B118" s="47">
        <v>140.29468975069253</v>
      </c>
      <c r="C118" s="30"/>
      <c r="D118" s="30"/>
      <c r="E118" s="6"/>
    </row>
    <row r="119" spans="1:5" x14ac:dyDescent="0.3">
      <c r="A119" s="16" t="s">
        <v>46</v>
      </c>
      <c r="B119" s="48">
        <v>139.80179101604284</v>
      </c>
      <c r="C119" s="30"/>
      <c r="D119" s="30"/>
      <c r="E119" s="6"/>
    </row>
    <row r="120" spans="1:5" x14ac:dyDescent="0.3">
      <c r="A120" s="16" t="s">
        <v>22</v>
      </c>
      <c r="B120" s="48">
        <v>141.67863836206891</v>
      </c>
      <c r="C120" s="30"/>
      <c r="D120" s="30"/>
      <c r="E120" s="6"/>
    </row>
    <row r="121" spans="1:5" ht="16.2" thickBot="1" x14ac:dyDescent="0.35">
      <c r="A121" s="17" t="s">
        <v>16</v>
      </c>
      <c r="B121" s="49">
        <v>141.21389506903375</v>
      </c>
      <c r="C121" s="30"/>
      <c r="D121" s="30"/>
      <c r="E121" s="6"/>
    </row>
    <row r="122" spans="1:5" x14ac:dyDescent="0.3">
      <c r="A122" s="5"/>
      <c r="B122" s="30"/>
      <c r="C122" s="30"/>
      <c r="D122" s="30"/>
      <c r="E122" s="6"/>
    </row>
    <row r="123" spans="1:5" x14ac:dyDescent="0.3">
      <c r="A123" s="5"/>
      <c r="B123" s="30"/>
      <c r="C123" s="30"/>
      <c r="D123" s="30"/>
      <c r="E123" s="6"/>
    </row>
    <row r="124" spans="1:5" x14ac:dyDescent="0.3">
      <c r="A124" s="5"/>
      <c r="B124" s="30"/>
      <c r="C124" s="30"/>
      <c r="D124" s="30"/>
      <c r="E124" s="6"/>
    </row>
    <row r="125" spans="1:5" ht="16.2" thickBot="1" x14ac:dyDescent="0.35">
      <c r="A125" s="5"/>
      <c r="B125" s="30"/>
      <c r="C125" s="30"/>
      <c r="D125" s="30"/>
      <c r="E125" s="6"/>
    </row>
    <row r="126" spans="1:5" ht="16.2" thickBot="1" x14ac:dyDescent="0.35">
      <c r="A126" s="15" t="s">
        <v>1618</v>
      </c>
      <c r="B126" s="18" t="s">
        <v>1630</v>
      </c>
      <c r="C126" s="30"/>
      <c r="D126" s="30"/>
      <c r="E126" s="6"/>
    </row>
    <row r="127" spans="1:5" x14ac:dyDescent="0.3">
      <c r="A127" s="33" t="s">
        <v>40</v>
      </c>
      <c r="B127" s="50">
        <v>1083</v>
      </c>
      <c r="C127" s="30"/>
      <c r="D127" s="30"/>
      <c r="E127" s="6"/>
    </row>
    <row r="128" spans="1:5" x14ac:dyDescent="0.3">
      <c r="A128" s="16" t="s">
        <v>46</v>
      </c>
      <c r="B128" s="51">
        <v>935</v>
      </c>
      <c r="C128" s="30"/>
      <c r="D128" s="30"/>
      <c r="E128" s="6"/>
    </row>
    <row r="129" spans="1:5" x14ac:dyDescent="0.3">
      <c r="A129" s="16" t="s">
        <v>22</v>
      </c>
      <c r="B129" s="51">
        <v>928</v>
      </c>
      <c r="C129" s="30"/>
      <c r="D129" s="30"/>
      <c r="E129" s="6"/>
    </row>
    <row r="130" spans="1:5" ht="16.2" thickBot="1" x14ac:dyDescent="0.35">
      <c r="A130" s="17" t="s">
        <v>16</v>
      </c>
      <c r="B130" s="52">
        <v>5577</v>
      </c>
      <c r="C130" s="30"/>
      <c r="D130" s="30"/>
      <c r="E130" s="6"/>
    </row>
    <row r="131" spans="1:5" x14ac:dyDescent="0.3">
      <c r="A131" s="5"/>
      <c r="B131" s="30"/>
      <c r="C131" s="30"/>
      <c r="D131" s="30"/>
      <c r="E131" s="6"/>
    </row>
    <row r="132" spans="1:5" ht="16.2" thickBot="1" x14ac:dyDescent="0.35">
      <c r="A132" s="7"/>
      <c r="B132" s="2"/>
      <c r="C132" s="2"/>
      <c r="D132" s="2"/>
      <c r="E132" s="8"/>
    </row>
    <row r="194" ht="16.2" thickBot="1" x14ac:dyDescent="0.35"/>
    <row r="202" ht="16.2" thickBot="1" x14ac:dyDescent="0.35"/>
    <row r="203" ht="16.2" thickBot="1" x14ac:dyDescent="0.35"/>
    <row r="212" ht="16.2" thickBot="1" x14ac:dyDescent="0.35"/>
    <row r="213" ht="16.2" thickBot="1" x14ac:dyDescent="0.35"/>
    <row r="222" ht="16.2" thickBot="1" x14ac:dyDescent="0.35"/>
    <row r="223" ht="16.2" thickBot="1" x14ac:dyDescent="0.35"/>
  </sheetData>
  <sortState xmlns:xlrd2="http://schemas.microsoft.com/office/spreadsheetml/2017/richdata2" ref="C95:D97">
    <sortCondition descending="1" ref="C94:C97"/>
  </sortState>
  <mergeCells count="8">
    <mergeCell ref="A61:F61"/>
    <mergeCell ref="A77:E77"/>
    <mergeCell ref="A92:J92"/>
    <mergeCell ref="A108:E108"/>
    <mergeCell ref="A25:D25"/>
    <mergeCell ref="A2:D2"/>
    <mergeCell ref="A13:D13"/>
    <mergeCell ref="A36:G3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E644D-FF6A-4C54-AD9E-822EEACAA682}">
  <dimension ref="A21:A24"/>
  <sheetViews>
    <sheetView showGridLines="0" zoomScale="80" zoomScaleNormal="80" workbookViewId="0">
      <selection activeCell="A14" sqref="A14"/>
    </sheetView>
  </sheetViews>
  <sheetFormatPr defaultRowHeight="15.6" x14ac:dyDescent="0.3"/>
  <sheetData>
    <row r="21" spans="1:1" ht="16.2" thickBot="1" x14ac:dyDescent="0.35"/>
    <row r="22" spans="1:1" x14ac:dyDescent="0.3">
      <c r="A22" s="33"/>
    </row>
    <row r="23" spans="1:1" x14ac:dyDescent="0.3">
      <c r="A23" s="16"/>
    </row>
    <row r="24" spans="1:1" ht="16.2" thickBot="1" x14ac:dyDescent="0.35">
      <c r="A24"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2" zoomScale="90" zoomScaleNormal="90" workbookViewId="0">
      <selection activeCell="B12" sqref="B1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Desgin</vt:lpstr>
      <vt:lpstr>Dashboard</vt:lpstr>
      <vt:lpstr>InstaMart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ushant u</cp:lastModifiedBy>
  <dcterms:created xsi:type="dcterms:W3CDTF">2024-06-23T13:11:17Z</dcterms:created>
  <dcterms:modified xsi:type="dcterms:W3CDTF">2025-12-18T20:01:56Z</dcterms:modified>
</cp:coreProperties>
</file>